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xl/externalLinks/externalLink12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xl/externalLinks/externalLink16.xml" ContentType="application/vnd.openxmlformats-officedocument.spreadsheetml.externalLink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OPS2020\PM Handbook\HIVE\Handbook Templates\Small and Medium  Projects\"/>
    </mc:Choice>
  </mc:AlternateContent>
  <bookViews>
    <workbookView xWindow="0" yWindow="0" windowWidth="23040" windowHeight="8835"/>
  </bookViews>
  <sheets>
    <sheet name="Decision Registe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dmc2">#REF!</definedName>
    <definedName name="_Fill" hidden="1">#REF!</definedName>
    <definedName name="_xlnm._FilterDatabase" localSheetId="0" hidden="1">'Decision Register'!$A$8:$S$9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web3">[1]SOHO!$M$103</definedName>
    <definedName name="a">'[2]ProductCo Lines Output'!$A$1:$L$29</definedName>
    <definedName name="aa" hidden="1">{"ProductCo PSTN Lines",#N/A,FALSE,"ProductCo Lines Output"}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LLDATA">[3]RAWDATA!$A$1:$BY$5839</definedName>
    <definedName name="base">'[4]Q1 Forecast'!$A$7</definedName>
    <definedName name="bb" hidden="1">{"ProductCo PSTN Lines",#N/A,FALSE,"ProductCo Lines Output"}</definedName>
    <definedName name="blankrow">'Decision Register'!#REF!</definedName>
    <definedName name="Bottom4">'Decision Register'!$A$39</definedName>
    <definedName name="Bottom5">#REF!</definedName>
    <definedName name="Bottom7">#REF!</definedName>
    <definedName name="buseventcost">#REF!</definedName>
    <definedName name="CalcAgencyPrice">#REF!</definedName>
    <definedName name="call_minder">[5]SOHO!$U$213</definedName>
    <definedName name="cc" hidden="1">{"ProductCo PSTN Lines",#N/A,FALSE,"ProductCo Lines Output"}</definedName>
    <definedName name="cfd" hidden="1">{"ProductCo PSTN Lines",#N/A,FALSE,"ProductCo Lines Output"}</definedName>
    <definedName name="channel">'[6]ProductCo Tot Calls Output'!$AC$1:$AH$19</definedName>
    <definedName name="ClosedValue">'[7]04_Configuration'!$H$8</definedName>
    <definedName name="cMIDF">OFFSET(#REF!,1,0,#REF!,1)</definedName>
    <definedName name="cMIDO">OFFSET(#REF!,1,0,#REF!,1)</definedName>
    <definedName name="CMS">#REF!</definedName>
    <definedName name="CMStwo">#REF!</definedName>
    <definedName name="Commission">#REF!</definedName>
    <definedName name="cont">#REF!</definedName>
    <definedName name="cost">'[5]Q3 Costs'!#REF!</definedName>
    <definedName name="costtwo">'[5]Q3 Costs'!#REF!</definedName>
    <definedName name="coupon">'[5]Q3 Costs'!$AD$47</definedName>
    <definedName name="CQH">'[8]Sat 3 Mar'!$B$2</definedName>
    <definedName name="CRPrintRange">#REF!</definedName>
    <definedName name="CRPrintRangetwo">#REF!</definedName>
    <definedName name="d">'[5]Q3 Costs'!#REF!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 hidden="1">{"ProductCo PSTN Lines",#N/A,FALSE,"ProductCo Lines Output"}</definedName>
    <definedName name="DelDC">#REF!</definedName>
    <definedName name="DelDm">#REF!</definedName>
    <definedName name="Delivery">#REF!</definedName>
    <definedName name="DelType">#REF!</definedName>
    <definedName name="deptLookup">#REF!</definedName>
    <definedName name="Division_names">[9]data!$A$4:$A$15</definedName>
    <definedName name="dmc">#REF!</definedName>
    <definedName name="drivers">'[4]Q1 Forecast'!$A$16</definedName>
    <definedName name="dtwo">'[5]Q3 Costs'!#REF!</definedName>
    <definedName name="dumppr">#REF!</definedName>
    <definedName name="ee" hidden="1">{"ProductCo PSTN Lines",#N/A,FALSE,"ProductCo Lines Output"}</definedName>
    <definedName name="FF" hidden="1">{"ProductCo PSTN Lines",#N/A,FALSE,"ProductCo Lines Output"}</definedName>
    <definedName name="FinancialImpact" localSheetId="0">'Decision Register'!#REF!</definedName>
    <definedName name="FinancialImpact">'[10]Risk Register'!$R$10:$R$33</definedName>
    <definedName name="gg" hidden="1">{"ProductCo PSTN Lines",#N/A,FALSE,"ProductCo Lines Output"}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eventcost">#REF!</definedName>
    <definedName name="here" hidden="1">{"ProductCo PSTN Lines",#N/A,FALSE,"ProductCo Lines Output"}</definedName>
    <definedName name="hh" hidden="1">{"ProductCo PSTN Lines",#N/A,FALSE,"ProductCo Lines Output"}</definedName>
    <definedName name="hwatl">'[11]Base Split'!$C$7</definedName>
    <definedName name="hwbuspsr">#REF!</definedName>
    <definedName name="hwhibus">#REF!</definedName>
    <definedName name="hwhires">#REF!</definedName>
    <definedName name="hwlobus">#REF!</definedName>
    <definedName name="hwlores">#REF!</definedName>
    <definedName name="hwrespsr">#REF!</definedName>
    <definedName name="IB">'[4]Q1 Forecast'!$A$49</definedName>
    <definedName name="IBDMC">'[4]Q1 Forecast'!$A$50</definedName>
    <definedName name="IBS">'[4]Q1 Forecast'!$A$51</definedName>
    <definedName name="ibsave">#REF!</definedName>
    <definedName name="ibsavetwo">#REF!</definedName>
    <definedName name="IELWSALES">#REF!</definedName>
    <definedName name="IELYSALES">#REF!</definedName>
    <definedName name="IEPLANSALES">#REF!</definedName>
    <definedName name="IESP">#REF!</definedName>
    <definedName name="ii" hidden="1">{"ProductCo PSTN Lines",#N/A,FALSE,"ProductCo Lines Output"}</definedName>
    <definedName name="IntFreeCred">#REF!</definedName>
    <definedName name="IssueStatus">'[12]Help Me'!#REF!</definedName>
    <definedName name="IssueStatustwo">'[12]Help Me'!#REF!</definedName>
    <definedName name="ItemType">'[7]04_Configuration'!$G$7:$G$8</definedName>
    <definedName name="jj" hidden="1">{"ProductCo PSTN Lines",#N/A,FALSE,"ProductCo Lines Output"}</definedName>
    <definedName name="kk" hidden="1">{"ProductCo PSTN Lines",#N/A,FALSE,"ProductCo Lines Output"}</definedName>
    <definedName name="List">#REF!</definedName>
    <definedName name="ListFinancialkeylinestwo">#REF!</definedName>
    <definedName name="ll" hidden="1">{"ProductCo PSTN Lines",#N/A,FALSE,"ProductCo Lines Output"}</definedName>
    <definedName name="look" hidden="1">{"ProductCo PSTN Lines",#N/A,FALSE,"ProductCo Lines Output"}</definedName>
    <definedName name="louise" hidden="1">{"ProductCo PSTN Lines",#N/A,FALSE,"ProductCo Lines Output"}</definedName>
    <definedName name="lstFinancialKeyLines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ailtot">#REF!</definedName>
    <definedName name="Main">#REF!</definedName>
    <definedName name="MARGINPLAN">#REF!</definedName>
    <definedName name="MARGINPROJ">#REF!</definedName>
    <definedName name="mm" hidden="1">{"ProductCo PSTN Lines",#N/A,FALSE,"ProductCo Lines Output"}</definedName>
    <definedName name="mysheets">#REF!</definedName>
    <definedName name="Names">'[7]04_Configuration'!$F$21:$F$71</definedName>
    <definedName name="Newrow2">'[10]Issues log'!#REF!</definedName>
    <definedName name="Newrow4">'Decision Register'!#REF!</definedName>
    <definedName name="Newrow5">#REF!</definedName>
    <definedName name="Newrow7">#REF!</definedName>
    <definedName name="NN" hidden="1">{"ProductCo PSTN Lines",#N/A,FALSE,"ProductCo Lines Output"}</definedName>
    <definedName name="Notes">#REF!</definedName>
    <definedName name="OB">'[4]Q1 Forecast'!$A$54</definedName>
    <definedName name="OBC">'[4]Q1 Forecast'!$A$55</definedName>
    <definedName name="OBDMC">'[4]Q1 Forecast'!$A$56</definedName>
    <definedName name="OBS">'[4]Q1 Forecast'!$A$57</definedName>
    <definedName name="obsave">#REF!</definedName>
    <definedName name="obsavetwo">#REF!</definedName>
    <definedName name="oo" hidden="1">{"ProductCo PSTN Lines",#N/A,FALSE,"ProductCo Lines Output"}</definedName>
    <definedName name="orders">#REF!</definedName>
    <definedName name="ordertwo">#REF!</definedName>
    <definedName name="OverallRisk" localSheetId="0">'Decision Register'!#REF!</definedName>
    <definedName name="pp" hidden="1">{"ProductCo PSTN Lines",#N/A,FALSE,"ProductCo Lines Output"}</definedName>
    <definedName name="PRDump">#REF!</definedName>
    <definedName name="_xlnm.Print_Area" localSheetId="0">'Decision Register'!$A$1:$L$39</definedName>
    <definedName name="_xlnm.Print_Area">#REF!</definedName>
    <definedName name="Print_Area_MI">#REF!</definedName>
    <definedName name="print_area1">#REF!</definedName>
    <definedName name="Print_Areatwo">#REF!</definedName>
    <definedName name="_xlnm.Print_Titles" localSheetId="0">'Decision Register'!$1:$8</definedName>
    <definedName name="Priorities">#REF!</definedName>
    <definedName name="ProbableImpact" localSheetId="0">'Decision Register'!#REF!</definedName>
    <definedName name="ProbableImpact">'[10]Risk Register'!$AV$10:$AV$33</definedName>
    <definedName name="ProdCoSelect1">'[13]ProductCo Tot Calls Output'!$AC$1:$AH$19</definedName>
    <definedName name="prods">'[5]Q3 Costs'!#REF!</definedName>
    <definedName name="prodstwo">'[5]Q3 Costs'!#REF!</definedName>
    <definedName name="Project_Name">[14]Intro!$B$25</definedName>
    <definedName name="ProjectName">"Setanta Conditional Access"</definedName>
    <definedName name="ProjName">'[15]Doc Control'!#REF!</definedName>
    <definedName name="ProjNametwo">'[15]Doc Control'!#REF!</definedName>
    <definedName name="q1busadsl">#REF!</definedName>
    <definedName name="q1busadsllist">#REF!</definedName>
    <definedName name="q1busadsltot">#REF!</definedName>
    <definedName name="q1busint">#REF!</definedName>
    <definedName name="q1busintlist">#REF!</definedName>
    <definedName name="q1businttot">#REF!</definedName>
    <definedName name="q1buslm">#REF!</definedName>
    <definedName name="q1buslmlist">#REF!</definedName>
    <definedName name="q1buslmtot">#REF!</definedName>
    <definedName name="q1busnonint">#REF!</definedName>
    <definedName name="q1busnonintlist">#REF!</definedName>
    <definedName name="q1busnoninttot">#REF!</definedName>
    <definedName name="q1bussurf">#REF!</definedName>
    <definedName name="q1bussurflist">#REF!</definedName>
    <definedName name="q1bussurftot">#REF!</definedName>
    <definedName name="q1callstim">#REF!</definedName>
    <definedName name="q1cont">#REF!</definedName>
    <definedName name="q1costtotal">#REF!</definedName>
    <definedName name="q1coupon">#REF!</definedName>
    <definedName name="q1data">#REF!</definedName>
    <definedName name="q1dmc">'[4]Q1 Forecast'!$A$23</definedName>
    <definedName name="q1dmc2">'[4]Q1 Forecast'!$A$52</definedName>
    <definedName name="q1ibdriver">#REF!</definedName>
    <definedName name="q1intcom">#REF!</definedName>
    <definedName name="q1mag">#REF!</definedName>
    <definedName name="q1maglist">#REF!</definedName>
    <definedName name="q1magtot">#REF!</definedName>
    <definedName name="q1magtottwo">#REF!</definedName>
    <definedName name="q1mr">#REF!</definedName>
    <definedName name="q1other">#REF!</definedName>
    <definedName name="q1poster">#REF!</definedName>
    <definedName name="q1posterlist">#REF!</definedName>
    <definedName name="q1postertot">#REF!</definedName>
    <definedName name="q1pr">#REF!</definedName>
    <definedName name="q1press">#REF!</definedName>
    <definedName name="q1presslist">#REF!</definedName>
    <definedName name="q1presstot">#REF!</definedName>
    <definedName name="q1prlist">#REF!</definedName>
    <definedName name="q1product">#REF!</definedName>
    <definedName name="q1productlist">#REF!</definedName>
    <definedName name="q1prtot">#REF!</definedName>
    <definedName name="q1prwebtot">#REF!</definedName>
    <definedName name="q1radio">#REF!</definedName>
    <definedName name="q1radiolist">#REF!</definedName>
    <definedName name="q1radiotot">#REF!</definedName>
    <definedName name="q1resadsl">#REF!</definedName>
    <definedName name="q1resadsllist">#REF!</definedName>
    <definedName name="q1resadsltot">#REF!</definedName>
    <definedName name="q1rescurtains">#REF!</definedName>
    <definedName name="q1rescurtainslist">#REF!</definedName>
    <definedName name="q1rescurtainstot">#REF!</definedName>
    <definedName name="q1resemail">#REF!</definedName>
    <definedName name="q1resemaillist">#REF!</definedName>
    <definedName name="q1resemailtot">#REF!</definedName>
    <definedName name="q1residd">#REF!</definedName>
    <definedName name="q1residdlist">#REF!</definedName>
    <definedName name="q1residdtot">#REF!</definedName>
    <definedName name="q1resint">#REF!</definedName>
    <definedName name="q1resintlist">#REF!</definedName>
    <definedName name="q1resinttot">#REF!</definedName>
    <definedName name="q1resmagcp">#REF!</definedName>
    <definedName name="q1resmagcplist">#REF!</definedName>
    <definedName name="q1resmagcptot">#REF!</definedName>
    <definedName name="q1resmagint">#REF!</definedName>
    <definedName name="q1resmagintlist">#REF!</definedName>
    <definedName name="q1resmaginttot">#REF!</definedName>
    <definedName name="q1resmagnon">#REF!</definedName>
    <definedName name="q1resmagnonlist">#REF!</definedName>
    <definedName name="q1resmagnontot">#REF!</definedName>
    <definedName name="q1resmob">#REF!</definedName>
    <definedName name="q1resmoblist">#REF!</definedName>
    <definedName name="q1resmobtot">#REF!</definedName>
    <definedName name="q1ressurf">#REF!</definedName>
    <definedName name="q1ressurflist">#REF!</definedName>
    <definedName name="q1ressurftot">#REF!</definedName>
    <definedName name="q1save">'[4]Q1 Forecast'!$A$24</definedName>
    <definedName name="q1save2">'[4]Q1 Forecast'!$A$53</definedName>
    <definedName name="q1saveO">'[4]Q1 Forecast'!$A$25</definedName>
    <definedName name="q1spec">#REF!</definedName>
    <definedName name="q1speclist">#REF!</definedName>
    <definedName name="q1spectot">#REF!</definedName>
    <definedName name="q1startup">#REF!</definedName>
    <definedName name="q1suinfo">#REF!</definedName>
    <definedName name="q1suinfolist">#REF!</definedName>
    <definedName name="q1suinfotot">#REF!</definedName>
    <definedName name="q1sumag">#REF!</definedName>
    <definedName name="q1sumaglist">#REF!</definedName>
    <definedName name="q1sumagtot">#REF!</definedName>
    <definedName name="q1suvfm">#REF!</definedName>
    <definedName name="q1suvfmlist">#REF!</definedName>
    <definedName name="q1suvfmtot">#REF!</definedName>
    <definedName name="q1tv">#REF!</definedName>
    <definedName name="q1tvfee">#REF!</definedName>
    <definedName name="q1tvfeelist">#REF!</definedName>
    <definedName name="q1tvfeetot">#REF!</definedName>
    <definedName name="q1tvlist">#REF!</definedName>
    <definedName name="q1tvprod">#REF!</definedName>
    <definedName name="q1tvprodlist">#REF!</definedName>
    <definedName name="q1tvprodlisttwo">#REF!</definedName>
    <definedName name="q1tvprodtot">#REF!</definedName>
    <definedName name="q1tvprodtottwo">#REF!</definedName>
    <definedName name="q1tvprodtwo">#REF!</definedName>
    <definedName name="q1tvtot">#REF!</definedName>
    <definedName name="q1web">#REF!</definedName>
    <definedName name="q1webhost">#REF!</definedName>
    <definedName name="q1weblist">#REF!</definedName>
    <definedName name="q1webtot">#REF!</definedName>
    <definedName name="q2busadsl">#REF!</definedName>
    <definedName name="q2busadsllist">#REF!</definedName>
    <definedName name="q2busadsltot">#REF!</definedName>
    <definedName name="q2busint">#REF!</definedName>
    <definedName name="q2busintlist">#REF!</definedName>
    <definedName name="q2businttot">#REF!</definedName>
    <definedName name="q2buslm">#REF!</definedName>
    <definedName name="q2buslmlist">#REF!</definedName>
    <definedName name="q2buslmtot">#REF!</definedName>
    <definedName name="q2busnonint">#REF!</definedName>
    <definedName name="q2busnonintlist">#REF!</definedName>
    <definedName name="q2busnoninttot">#REF!</definedName>
    <definedName name="q2busscm">#REF!</definedName>
    <definedName name="q2busscmlist">#REF!</definedName>
    <definedName name="q2busscmtot">#REF!</definedName>
    <definedName name="q2bussurf">#REF!</definedName>
    <definedName name="q2bussurflist">#REF!</definedName>
    <definedName name="q2bussurftot">#REF!</definedName>
    <definedName name="q2cont">#REF!</definedName>
    <definedName name="q2costtotal">#REF!</definedName>
    <definedName name="q2coupon">#REF!</definedName>
    <definedName name="q2data">#REF!</definedName>
    <definedName name="q2dmc">'[4]Q2 Forecast'!$A$23</definedName>
    <definedName name="q2dmc2">'[4]Q2 Forecast'!$A$36</definedName>
    <definedName name="q2drat21">#REF!</definedName>
    <definedName name="q2drat21list">#REF!</definedName>
    <definedName name="q2drat21tot">#REF!</definedName>
    <definedName name="q2ibdriver">#REF!</definedName>
    <definedName name="q2intcom">#REF!</definedName>
    <definedName name="q2mr">#REF!</definedName>
    <definedName name="q2other">#REF!</definedName>
    <definedName name="q2poster">#REF!</definedName>
    <definedName name="q2posterlist">#REF!</definedName>
    <definedName name="q2postertot">#REF!</definedName>
    <definedName name="q2pr">#REF!</definedName>
    <definedName name="q2press">#REF!</definedName>
    <definedName name="q2presslist">#REF!</definedName>
    <definedName name="q2presstot">#REF!</definedName>
    <definedName name="q2prlist">#REF!</definedName>
    <definedName name="q2product">'[5]Q2 Costs'!$B$5:$AL$49</definedName>
    <definedName name="q2productlist">'[5]Q2 Costs'!$B$5:$B$49</definedName>
    <definedName name="q2prtot">#REF!</definedName>
    <definedName name="q2prwebtot">#REF!</definedName>
    <definedName name="q2radio">#REF!</definedName>
    <definedName name="q2radiolist">#REF!</definedName>
    <definedName name="q2radiotot">#REF!</definedName>
    <definedName name="q2resadsl">#REF!</definedName>
    <definedName name="q2resadsllist">#REF!</definedName>
    <definedName name="q2resadsltot">#REF!</definedName>
    <definedName name="q2rescurtains">#REF!</definedName>
    <definedName name="q2rescurtainslist">#REF!</definedName>
    <definedName name="q2rescurtainstot">#REF!</definedName>
    <definedName name="q2resint">#REF!</definedName>
    <definedName name="q2resintlist">#REF!</definedName>
    <definedName name="q2resinttot">#REF!</definedName>
    <definedName name="q2resmagcp">#REF!</definedName>
    <definedName name="q2resmagcplist">#REF!</definedName>
    <definedName name="q2resmagcptot">#REF!</definedName>
    <definedName name="q2resmagint">#REF!</definedName>
    <definedName name="q2resmagintlist">#REF!</definedName>
    <definedName name="q2resmaginttot">#REF!</definedName>
    <definedName name="q2resmagnon">#REF!</definedName>
    <definedName name="q2resmagnonlist">#REF!</definedName>
    <definedName name="q2resmagnontot">#REF!</definedName>
    <definedName name="q2resnonint">#REF!</definedName>
    <definedName name="q2resnonintlist">#REF!</definedName>
    <definedName name="q2resnoninttot">#REF!</definedName>
    <definedName name="q2resscm">#REF!</definedName>
    <definedName name="q2resscmlist">#REF!</definedName>
    <definedName name="q2resscmtot">#REF!</definedName>
    <definedName name="q2ressurf">#REF!</definedName>
    <definedName name="q2ressurflist">#REF!</definedName>
    <definedName name="q2ressurftot">#REF!</definedName>
    <definedName name="q2save">'[4]Q2 Forecast'!$A$24</definedName>
    <definedName name="q2save2">'[4]Q2 Forecast'!$A$37</definedName>
    <definedName name="q2spec">#REF!</definedName>
    <definedName name="q2speclist">#REF!</definedName>
    <definedName name="q2spectot">#REF!</definedName>
    <definedName name="q2startup">#REF!</definedName>
    <definedName name="q2sucurtains">#REF!</definedName>
    <definedName name="q2sucurtainslist">#REF!</definedName>
    <definedName name="q2sucurtainstot">#REF!</definedName>
    <definedName name="q2suinfo">#REF!</definedName>
    <definedName name="q2suinfolist">#REF!</definedName>
    <definedName name="q2suinfotot">#REF!</definedName>
    <definedName name="q2sumag">#REF!</definedName>
    <definedName name="q2sumaglist">#REF!</definedName>
    <definedName name="q2sumagtot">#REF!</definedName>
    <definedName name="q2tv">#REF!</definedName>
    <definedName name="q2tvfee">#REF!</definedName>
    <definedName name="q2tvfeelist">#REF!</definedName>
    <definedName name="q2tvfeetot">#REF!</definedName>
    <definedName name="q2tvlist">#REF!</definedName>
    <definedName name="q2tvprod">#REF!</definedName>
    <definedName name="q2tvprodlist">#REF!</definedName>
    <definedName name="q2tvprodlisttwo">#REF!</definedName>
    <definedName name="q2tvprodtot">#REF!</definedName>
    <definedName name="q2tvprodtottwo">#REF!</definedName>
    <definedName name="q2tvprodtwo">#REF!</definedName>
    <definedName name="q2tvtot">#REF!</definedName>
    <definedName name="q2web">#REF!</definedName>
    <definedName name="q2webhost">#REF!</definedName>
    <definedName name="q2weblist">#REF!</definedName>
    <definedName name="q2webtot">#REF!</definedName>
    <definedName name="q2webtot2">#REF!</definedName>
    <definedName name="q3bhtp">[5]SOHO!$S$221</definedName>
    <definedName name="q3billbus">[5]SOHO!$S$234</definedName>
    <definedName name="q3bltp">[5]SOHO!$S$204</definedName>
    <definedName name="q3bpsr">[5]SOHO!$S$149</definedName>
    <definedName name="q3busadsl">#REF!</definedName>
    <definedName name="q3busadsllist">#REF!</definedName>
    <definedName name="q3busadsltot">#REF!</definedName>
    <definedName name="q3busbtwt">#REF!</definedName>
    <definedName name="q3busbtwtlist">#REF!</definedName>
    <definedName name="q3busbtwtst">#REF!</definedName>
    <definedName name="q3busbtwtstlist">#REF!</definedName>
    <definedName name="q3busbtwtsttot">#REF!</definedName>
    <definedName name="q3busbtwttot">#REF!</definedName>
    <definedName name="q3busdra">#REF!</definedName>
    <definedName name="q3busdralist">#REF!</definedName>
    <definedName name="q3busdratot">#REF!</definedName>
    <definedName name="q3busgol">#REF!</definedName>
    <definedName name="q3busgollist">#REF!</definedName>
    <definedName name="q3busgoltot">#REF!</definedName>
    <definedName name="q3busltr">[5]SOHO!$R$130:$T$148</definedName>
    <definedName name="q3busltrlist">[5]SOHO!$R$130:$R$148</definedName>
    <definedName name="q3busmob">#REF!</definedName>
    <definedName name="q3busmoblist">#REF!</definedName>
    <definedName name="q3busmobtot">#REF!</definedName>
    <definedName name="q3busprod">[5]SOHO!$R$187:$S$212</definedName>
    <definedName name="q3busprodhi">[5]SOHO!$R$205:$S$221</definedName>
    <definedName name="q3busprodhilist">[5]SOHO!$R$205:$R$221</definedName>
    <definedName name="q3busprodlist">[5]SOHO!$R$187:$R$212</definedName>
    <definedName name="q3busprodlow">[5]SOHO!$R$187:$S$204</definedName>
    <definedName name="q3busprodlowlist">[5]SOHO!$R$187:$R$204</definedName>
    <definedName name="q3busstbens">#REF!</definedName>
    <definedName name="q3busstbenslist">#REF!</definedName>
    <definedName name="q3busstbenstot">#REF!</definedName>
    <definedName name="q3bussts">#REF!</definedName>
    <definedName name="q3busstslist">#REF!</definedName>
    <definedName name="q3busststot">#REF!</definedName>
    <definedName name="q3bussurf">#REF!</definedName>
    <definedName name="q3bussurflist">#REF!</definedName>
    <definedName name="q3bussurftot">#REF!</definedName>
    <definedName name="q3cd">[5]SOHO!$S$124</definedName>
    <definedName name="q3cdrom">[5]SOHO!$R$111:$S$122</definedName>
    <definedName name="q3cdromlist">[5]SOHO!$R$111:$R$123</definedName>
    <definedName name="q3cont">#REF!</definedName>
    <definedName name="q3costtotal">#REF!</definedName>
    <definedName name="q3coupon">#REF!</definedName>
    <definedName name="q3data">#REF!</definedName>
    <definedName name="q3datarecon">[5]SOHO!#REF!</definedName>
    <definedName name="q3datarecontwo">[5]SOHO!#REF!</definedName>
    <definedName name="q3dmc">'[4]Q3 Forecast'!$A$23</definedName>
    <definedName name="q3dmc2">'[4]Q3 Forecast'!$A$36</definedName>
    <definedName name="q3dome">[5]SOHO!$S$312</definedName>
    <definedName name="q3dp">[5]SOHO!$S$303</definedName>
    <definedName name="q3fulfil">[5]SOHO!$S$254</definedName>
    <definedName name="q3gs2l">#REF!</definedName>
    <definedName name="q3gs2llist">#REF!</definedName>
    <definedName name="q3gs2ltot">#REF!</definedName>
    <definedName name="q3gsacquis">#REF!</definedName>
    <definedName name="q3gsacquislist">#REF!</definedName>
    <definedName name="q3gsacquistot">#REF!</definedName>
    <definedName name="q3gsflyer">#REF!</definedName>
    <definedName name="q3gsflyerlist">#REF!</definedName>
    <definedName name="q3gsflyertot">#REF!</definedName>
    <definedName name="q3gshw">#REF!</definedName>
    <definedName name="q3gshwlist">#REF!</definedName>
    <definedName name="q3gshwtot">#REF!</definedName>
    <definedName name="q3gsmag">#REF!</definedName>
    <definedName name="q3gsmaglist">#REF!</definedName>
    <definedName name="q3gsmagtot">#REF!</definedName>
    <definedName name="q3ibdriver">#REF!</definedName>
    <definedName name="q3intcom">#REF!</definedName>
    <definedName name="q3mob">#REF!</definedName>
    <definedName name="q3mobins">#REF!</definedName>
    <definedName name="q3moblist">#REF!</definedName>
    <definedName name="q3mr">#REF!</definedName>
    <definedName name="q3mrrecon">#REF!</definedName>
    <definedName name="q3mrrecontwo">#REF!</definedName>
    <definedName name="q3nat">[1]SOHO!$L$38:$M$48</definedName>
    <definedName name="q3natlist">[1]SOHO!$L$38:$L$48</definedName>
    <definedName name="q3other">#REF!</definedName>
    <definedName name="q3otherlist">#REF!</definedName>
    <definedName name="q3othertot">#REF!</definedName>
    <definedName name="q3out">[1]SOHO!$L$59:$M$61</definedName>
    <definedName name="q3outlist">[1]SOHO!$L$59:$L$61</definedName>
    <definedName name="q3poster">#REF!</definedName>
    <definedName name="q3posterlist">#REF!</definedName>
    <definedName name="q3postertot">#REF!</definedName>
    <definedName name="q3pr">#REF!</definedName>
    <definedName name="q3press">#REF!</definedName>
    <definedName name="q3presslist">#REF!</definedName>
    <definedName name="q3presstot">#REF!</definedName>
    <definedName name="q3prlist">#REF!</definedName>
    <definedName name="q3product">'[5]Q3 Costs'!$C$5:$AK$45</definedName>
    <definedName name="q3productlist">'[5]Q3 Costs'!$C$5:$C$45</definedName>
    <definedName name="q3promo">#REF!</definedName>
    <definedName name="q3prtot">#REF!</definedName>
    <definedName name="q3prwebtot">#REF!</definedName>
    <definedName name="q3radio">#REF!</definedName>
    <definedName name="q3radiolist">#REF!</definedName>
    <definedName name="q3radiotot">#REF!</definedName>
    <definedName name="q3resadsl">#REF!</definedName>
    <definedName name="q3resadsllist">#REF!</definedName>
    <definedName name="q3resadsltot">#REF!</definedName>
    <definedName name="q3resbttbens">#REF!</definedName>
    <definedName name="q3resbttbenslist">#REF!</definedName>
    <definedName name="q3resbttbenstot">#REF!</definedName>
    <definedName name="q3resbttst">#REF!</definedName>
    <definedName name="q3resbttstlist">#REF!</definedName>
    <definedName name="q3resbttsttot">#REF!</definedName>
    <definedName name="q3resbtwtst">#REF!</definedName>
    <definedName name="q3resbtwtstlist">#REF!</definedName>
    <definedName name="q3resbtwtsttot">#REF!</definedName>
    <definedName name="q3resdra">#REF!</definedName>
    <definedName name="q3resdralist">#REF!</definedName>
    <definedName name="q3resdratot">#REF!</definedName>
    <definedName name="q3resltr">#REF!</definedName>
    <definedName name="q3resltrlist">#REF!</definedName>
    <definedName name="q3resmob">#REF!</definedName>
    <definedName name="q3resmoblist">#REF!</definedName>
    <definedName name="q3resmobtot">#REF!</definedName>
    <definedName name="q3resprodhi">#REF!</definedName>
    <definedName name="q3resprodhilist">#REF!</definedName>
    <definedName name="q3resprodlow">#REF!</definedName>
    <definedName name="q3resprodlowlist">#REF!</definedName>
    <definedName name="q3resstbens">#REF!</definedName>
    <definedName name="q3resstbenslist">#REF!</definedName>
    <definedName name="q3resstbenstot">#REF!</definedName>
    <definedName name="q3ressts">#REF!</definedName>
    <definedName name="q3resstslist">#REF!</definedName>
    <definedName name="q3resststot">#REF!</definedName>
    <definedName name="q3ressurf">#REF!</definedName>
    <definedName name="q3ressurflist">#REF!</definedName>
    <definedName name="q3ressurftot">#REF!</definedName>
    <definedName name="q3restrade">#REF!</definedName>
    <definedName name="q3restradee">#REF!</definedName>
    <definedName name="q3restradeelist">#REF!</definedName>
    <definedName name="q3restradeetot">#REF!</definedName>
    <definedName name="q3restradelist">#REF!</definedName>
    <definedName name="q3restradetot">#REF!</definedName>
    <definedName name="q3rhtp">#REF!</definedName>
    <definedName name="q3rhtptwo">#REF!</definedName>
    <definedName name="q3rltp">#REF!</definedName>
    <definedName name="q3rpsr">#REF!</definedName>
    <definedName name="q3save">'[4]Q3 Forecast'!$A$24</definedName>
    <definedName name="q3save2">'[4]Q3 Forecast'!$A$37</definedName>
    <definedName name="q3solusrecon">#REF!</definedName>
    <definedName name="q3spec">#REF!</definedName>
    <definedName name="q3speclist">#REF!</definedName>
    <definedName name="q3spectot">#REF!</definedName>
    <definedName name="q3tv">#REF!</definedName>
    <definedName name="q3tvcost">#REF!</definedName>
    <definedName name="q3tvfee">#REF!</definedName>
    <definedName name="q3tvlist">#REF!</definedName>
    <definedName name="q3tvprod">#REF!</definedName>
    <definedName name="q3tvprodlist">#REF!</definedName>
    <definedName name="q3tvprodlisttwo">#REF!</definedName>
    <definedName name="q3tvprodtwo">#REF!</definedName>
    <definedName name="q3tvtot">#REF!</definedName>
    <definedName name="q3up">#REF!</definedName>
    <definedName name="q3update">#REF!</definedName>
    <definedName name="q3updatecontrib">#REF!</definedName>
    <definedName name="q3updatelist">#REF!</definedName>
    <definedName name="q3uptwo">#REF!</definedName>
    <definedName name="q3web">#REF!</definedName>
    <definedName name="q3webhost">#REF!</definedName>
    <definedName name="q3weblist">#REF!</definedName>
    <definedName name="q3webtot">#REF!</definedName>
    <definedName name="q3webtot2">#REF!</definedName>
    <definedName name="q4bhtp">#REF!</definedName>
    <definedName name="q4bilbustwo">#REF!</definedName>
    <definedName name="q4billbus">#REF!</definedName>
    <definedName name="q4bltp">#REF!</definedName>
    <definedName name="q4bushiprod">#REF!</definedName>
    <definedName name="q4bushiprodlist">#REF!</definedName>
    <definedName name="q4busloprod">#REF!</definedName>
    <definedName name="q4busloprodlist">#REF!</definedName>
    <definedName name="q4buspsr">#REF!</definedName>
    <definedName name="q4buspsrlist">#REF!</definedName>
    <definedName name="q4buspsrtot">#REF!</definedName>
    <definedName name="q4cont">#REF!</definedName>
    <definedName name="q4costtotal">#REF!</definedName>
    <definedName name="q4costtotaltwo">#REF!</definedName>
    <definedName name="q4coupon">#REF!</definedName>
    <definedName name="q4data">#REF!</definedName>
    <definedName name="q4dmc">'[4]Q4 Forecast'!$A$23</definedName>
    <definedName name="q4dmc2">'[4]Q4 Forecast'!$A$36</definedName>
    <definedName name="q4dome">#REF!</definedName>
    <definedName name="q4dometwo">#REF!</definedName>
    <definedName name="q4htptwo">#REF!</definedName>
    <definedName name="q4ibdriver">#REF!</definedName>
    <definedName name="q4intcomms">#REF!</definedName>
    <definedName name="q4mob">#REF!</definedName>
    <definedName name="q4mr">#REF!</definedName>
    <definedName name="q4other">#REF!</definedName>
    <definedName name="q4out">#REF!</definedName>
    <definedName name="q4outlist">#REF!</definedName>
    <definedName name="q4outtot">#REF!</definedName>
    <definedName name="q4pr">#REF!</definedName>
    <definedName name="q4press">#REF!</definedName>
    <definedName name="q4presslist">#REF!</definedName>
    <definedName name="q4presstot">#REF!</definedName>
    <definedName name="q4product">'[5]Q4 Costs'!$C$5:$AI$39</definedName>
    <definedName name="q4productlist">'[5]Q4 Costs'!$C$5:$C$39</definedName>
    <definedName name="q4promo">#REF!</definedName>
    <definedName name="q4radio">#REF!</definedName>
    <definedName name="q4radiolist">#REF!</definedName>
    <definedName name="q4radiotot">#REF!</definedName>
    <definedName name="q4reshiprod">#REF!</definedName>
    <definedName name="q4reshiprodlist">#REF!</definedName>
    <definedName name="q4resloprod">#REF!</definedName>
    <definedName name="q4resloprodlist">#REF!</definedName>
    <definedName name="q4respsr">#REF!</definedName>
    <definedName name="q4respsrlist">#REF!</definedName>
    <definedName name="q4respsrtot">#REF!</definedName>
    <definedName name="q4rhtp">#REF!</definedName>
    <definedName name="q4rltp">#REF!</definedName>
    <definedName name="q4save">'[4]Q4 Forecast'!$A$24</definedName>
    <definedName name="q4save2">'[4]Q4 Forecast'!$A$37</definedName>
    <definedName name="q4spec">#REF!</definedName>
    <definedName name="q4speclist">#REF!</definedName>
    <definedName name="q4spectot">#REF!</definedName>
    <definedName name="q4tv">#REF!</definedName>
    <definedName name="q4tvfee">#REF!</definedName>
    <definedName name="q4tvlist">#REF!</definedName>
    <definedName name="q4tvprod">#REF!</definedName>
    <definedName name="q4tvprodlist">#REF!</definedName>
    <definedName name="q4tvprodlisttwo">#REF!</definedName>
    <definedName name="q4tvprodtot">#REF!</definedName>
    <definedName name="q4tvprodtottwo">#REF!</definedName>
    <definedName name="q4tvprodtwo">#REF!</definedName>
    <definedName name="q4tvtot">#REF!</definedName>
    <definedName name="q4update">#REF!</definedName>
    <definedName name="q4updatelist">#REF!</definedName>
    <definedName name="q4updatetot">#REF!</definedName>
    <definedName name="q4web">#REF!</definedName>
    <definedName name="q4webhost">#REF!</definedName>
    <definedName name="q4weblist">#REF!</definedName>
    <definedName name="q4webtot">#REF!</definedName>
    <definedName name="qq" hidden="1">{"ProductCo PSTN Lines",#N/A,FALSE,"ProductCo Lines Output"}</definedName>
    <definedName name="qqqqqqqqqqqqq" hidden="1">{"ProductCo PSTN Lines",#N/A,FALSE,"ProductCo Lines Output"}</definedName>
    <definedName name="RawAgencyPrice">#REF!</definedName>
    <definedName name="RBData">#REF!</definedName>
    <definedName name="Rebuild">"Line 59"</definedName>
    <definedName name="Report_Date">[14]Intro!$A$8</definedName>
    <definedName name="Reselects">#REF!</definedName>
    <definedName name="reseventcost">#REF!</definedName>
    <definedName name="resibmob">#REF!</definedName>
    <definedName name="rr" hidden="1">{"ProductCo PSTN Lines",#N/A,FALSE,"ProductCo Lines Output"}</definedName>
    <definedName name="SALESPLAN">#REF!</definedName>
    <definedName name="sami" hidden="1">{"ProductCo PSTN Lines",#N/A,FALSE,"ProductCo Lines Output"}</definedName>
    <definedName name="save">#REF!</definedName>
    <definedName name="save2">#REF!</definedName>
    <definedName name="sbatl">#REF!</definedName>
    <definedName name="sbbuspsr">#REF!</definedName>
    <definedName name="sbhibus">#REF!</definedName>
    <definedName name="sbhires">#REF!</definedName>
    <definedName name="sblobus">#REF!</definedName>
    <definedName name="sblores">#REF!</definedName>
    <definedName name="sbrespsr">#REF!</definedName>
    <definedName name="solus">#REF!</definedName>
    <definedName name="solustwo">#REF!</definedName>
    <definedName name="SP_1">#REF!</definedName>
    <definedName name="SP_10">#REF!</definedName>
    <definedName name="SP_11">#REF!</definedName>
    <definedName name="SP_11_NOTES">#REF!</definedName>
    <definedName name="SP_12">#REF!</definedName>
    <definedName name="SP_2">#REF!</definedName>
    <definedName name="SP_3">#REF!</definedName>
    <definedName name="SP_4">#REF!</definedName>
    <definedName name="SP_5">#REF!</definedName>
    <definedName name="SP_6">#REF!</definedName>
    <definedName name="SP_7">#REF!</definedName>
    <definedName name="SP_8">#REF!</definedName>
    <definedName name="SP_9">#REF!</definedName>
    <definedName name="ss" hidden="1">{"ProductCo PSTN Lines",#N/A,FALSE,"ProductCo Lines Output"}</definedName>
    <definedName name="Status">[14]Key!$C$8:$C$12</definedName>
    <definedName name="sysCheck">#REF!</definedName>
    <definedName name="sysErrorDescription">#REF!</definedName>
    <definedName name="sysErrorDescriptiontwo">#REF!</definedName>
    <definedName name="sysFormVersionNo">#REF!</definedName>
    <definedName name="sysFormVersionNotwo">#REF!</definedName>
    <definedName name="sysLock">[15]Actuals!$F$29:$F$200,[15]Actuals!$M$29:$AV$200</definedName>
    <definedName name="sysMasterData">#REF!</definedName>
    <definedName name="sysMasterDatatwo">#REF!</definedName>
    <definedName name="sysPIPIdentifier">"PIP"</definedName>
    <definedName name="sysProject_ID">#REF!</definedName>
    <definedName name="sysProject_Name">#REF!</definedName>
    <definedName name="sysProject_Nametwo">#REF!</definedName>
    <definedName name="sysProjectFileRAGStatus">#REF!</definedName>
    <definedName name="sysProjectFileRAGstatustwo">#REF!</definedName>
    <definedName name="sysReport_Date">#REF!</definedName>
    <definedName name="sysReport_Datetwo">#REF!</definedName>
    <definedName name="syssChecktwo">#REF!</definedName>
    <definedName name="sysTimelineEnd">#REF!</definedName>
    <definedName name="sysTimelineEndtwo">#REF!</definedName>
    <definedName name="sysTimelineStart">#REF!</definedName>
    <definedName name="sysTimelinestarttwo">#REF!</definedName>
    <definedName name="Table1">#REF!</definedName>
    <definedName name="tot">#REF!</definedName>
    <definedName name="TotalProdCoBHWLines">'[16]ProductCo Lines Output'!$A$100:$K$128</definedName>
    <definedName name="TotalProdCoDSLLines">'[16]ProductCo Lines Output'!$A$300:$K$328</definedName>
    <definedName name="TotalProdCoHHWLines">'[16]ProductCo Lines Output'!$A$150:$K$178</definedName>
    <definedName name="TotalProdCoISDN2Lines">'[16]ProductCo Lines Output'!$A$200:$K$228</definedName>
    <definedName name="TotalProdCoISDN30Lines">'[16]ProductCo Lines Output'!$A$250:$K$278</definedName>
    <definedName name="TotalProdCoLines">'[16]ProductCo Lines Output'!$A$1:$L$29</definedName>
    <definedName name="TotalProdCoOtherLines">'[16]ProductCo Lines Output'!$A$350:$K$378</definedName>
    <definedName name="TotalProdCoPSTNLines">'[16]ProductCo Lines Output'!$A$50:$K$78</definedName>
    <definedName name="totbase">#REF!</definedName>
    <definedName name="tt" hidden="1">{"ProductCo PSTN Lines",#N/A,FALSE,"ProductCo Lines Output"}</definedName>
    <definedName name="uu" hidden="1">{"ProductCo PSTN Lines",#N/A,FALSE,"ProductCo Lines Output"}</definedName>
    <definedName name="vv" hidden="1">{"ProductCo PSTN Lines",#N/A,FALSE,"ProductCo Lines Output"}</definedName>
    <definedName name="wa">[4]Model_Comp!$B$20</definedName>
    <definedName name="wfh">#REF!</definedName>
    <definedName name="wfhmail">#REF!</definedName>
    <definedName name="wfo">#REF!</definedName>
    <definedName name="wfomail">#REF!</definedName>
    <definedName name="workstreams">#REF!</definedName>
    <definedName name="workstreamstwo">#REF!</definedName>
    <definedName name="wrn.ProductCo._.PSTN._.Print." hidden="1">{"ProductCo PSTN Lines",#N/A,FALSE,"ProductCo Lines Output"}</definedName>
    <definedName name="ws_code">#REF!</definedName>
    <definedName name="ws_codetwo">#REF!</definedName>
    <definedName name="WW" hidden="1">{"ProductCo PSTN Lines",#N/A,FALSE,"ProductCo Lines Output"}</definedName>
    <definedName name="x" hidden="1">{"ProductCo PSTN Lines",#N/A,FALSE,"ProductCo Lines Output"}</definedName>
    <definedName name="xx" hidden="1">{"ProductCo PSTN Lines",#N/A,FALSE,"ProductCo Lines Output"}</definedName>
    <definedName name="yy" hidden="1">{"ProductCo PSTN Lines",#N/A,FALSE,"ProductCo Lines Output"}</definedName>
    <definedName name="z" hidden="1">{"ProductCo PSTN Lines",#N/A,FALSE,"ProductCo Lines Output"}</definedName>
    <definedName name="zebra" hidden="1">{"ProductCo PSTN Lines",#N/A,FALSE,"ProductCo Lines Output"}</definedName>
    <definedName name="zz" hidden="1">{"ProductCo PSTN Lines",#N/A,FALSE,"ProductCo Lines Output"}</definedName>
    <definedName name="zzz" hidden="1">{"ProductCo PSTN Lines",#N/A,FALSE,"ProductCo Lines Output"}</definedName>
    <definedName name="zzzz" hidden="1">{"ProductCo PSTN Lines",#N/A,FALSE,"ProductCo Lines Output"}</definedName>
    <definedName name="zzzzzzzzzzzzzzzzzzzzz" hidden="1">{"ProductCo PSTN Lines",#N/A,FALSE,"ProductCo Lines Output"}</definedName>
    <definedName name="zzzzzzzzzzzzzzzzzzzzzzzzzzzzzzz" hidden="1">{"ProductCo PSTN Lines",#N/A,FALSE,"ProductCo Lines Output"}</definedName>
    <definedName name="zzzzzzzzzzzzzzzzzzzzzzzzzzzzzzzzz" hidden="1">{"ProductCo PSTN Lines",#N/A,FALSE,"ProductCo Lines Output"}</definedName>
    <definedName name="zzzzzzzzzzzzzzzzzzzzzzzzzzzzzzzzzzzzz" hidden="1">{"ProductCo PSTN Lines",#N/A,FALSE,"ProductCo Lines Output"}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8" i="1" l="1"/>
  <c r="R38" i="1"/>
  <c r="Q38" i="1"/>
  <c r="P38" i="1"/>
  <c r="S37" i="1"/>
  <c r="R37" i="1"/>
  <c r="Q37" i="1"/>
  <c r="P37" i="1"/>
  <c r="S36" i="1"/>
  <c r="R36" i="1"/>
  <c r="Q36" i="1"/>
  <c r="P36" i="1"/>
  <c r="S35" i="1"/>
  <c r="R35" i="1"/>
  <c r="Q35" i="1"/>
  <c r="P35" i="1"/>
  <c r="S34" i="1"/>
  <c r="R34" i="1"/>
  <c r="Q34" i="1"/>
  <c r="P34" i="1"/>
  <c r="S33" i="1"/>
  <c r="R33" i="1"/>
  <c r="Q33" i="1"/>
  <c r="P33" i="1"/>
  <c r="S32" i="1"/>
  <c r="R32" i="1"/>
  <c r="Q32" i="1"/>
  <c r="P32" i="1"/>
  <c r="S31" i="1"/>
  <c r="R31" i="1"/>
  <c r="Q31" i="1"/>
  <c r="P31" i="1"/>
  <c r="S30" i="1"/>
  <c r="R30" i="1"/>
  <c r="Q30" i="1"/>
  <c r="P30" i="1"/>
  <c r="S29" i="1"/>
  <c r="R29" i="1"/>
  <c r="Q29" i="1"/>
  <c r="P29" i="1"/>
  <c r="S28" i="1"/>
  <c r="R28" i="1"/>
  <c r="Q28" i="1"/>
  <c r="P28" i="1"/>
  <c r="S27" i="1"/>
  <c r="R27" i="1"/>
  <c r="Q27" i="1"/>
  <c r="P27" i="1"/>
  <c r="S26" i="1"/>
  <c r="R26" i="1"/>
  <c r="Q26" i="1"/>
  <c r="P26" i="1"/>
  <c r="S25" i="1"/>
  <c r="R25" i="1"/>
  <c r="Q25" i="1"/>
  <c r="P25" i="1"/>
  <c r="S24" i="1"/>
  <c r="R24" i="1"/>
  <c r="Q24" i="1"/>
  <c r="P24" i="1"/>
  <c r="S23" i="1"/>
  <c r="R23" i="1"/>
  <c r="Q23" i="1"/>
  <c r="P23" i="1"/>
  <c r="S22" i="1"/>
  <c r="R22" i="1"/>
  <c r="Q22" i="1"/>
  <c r="P22" i="1"/>
  <c r="S21" i="1"/>
  <c r="R21" i="1"/>
  <c r="Q21" i="1"/>
  <c r="P21" i="1"/>
  <c r="P40" i="1" s="1"/>
  <c r="G3" i="1" s="1"/>
  <c r="S20" i="1"/>
  <c r="R20" i="1"/>
  <c r="R40" i="1" s="1"/>
  <c r="G5" i="1" s="1"/>
  <c r="Q20" i="1"/>
  <c r="S19" i="1"/>
  <c r="R19" i="1"/>
  <c r="Q19" i="1"/>
  <c r="P19" i="1"/>
  <c r="S18" i="1"/>
  <c r="R18" i="1"/>
  <c r="Q18" i="1"/>
  <c r="P18" i="1"/>
  <c r="S17" i="1"/>
  <c r="R17" i="1"/>
  <c r="Q17" i="1"/>
  <c r="P17" i="1"/>
  <c r="S16" i="1"/>
  <c r="R16" i="1"/>
  <c r="Q16" i="1"/>
  <c r="P16" i="1"/>
  <c r="S15" i="1"/>
  <c r="R15" i="1"/>
  <c r="Q15" i="1"/>
  <c r="P15" i="1"/>
  <c r="S14" i="1"/>
  <c r="R14" i="1"/>
  <c r="Q14" i="1"/>
  <c r="P14" i="1"/>
  <c r="S13" i="1"/>
  <c r="R13" i="1"/>
  <c r="Q13" i="1"/>
  <c r="P13" i="1"/>
  <c r="S12" i="1"/>
  <c r="R12" i="1"/>
  <c r="Q12" i="1"/>
  <c r="P12" i="1"/>
  <c r="S11" i="1"/>
  <c r="R11" i="1"/>
  <c r="Q11" i="1"/>
  <c r="P11" i="1"/>
  <c r="S10" i="1"/>
  <c r="R10" i="1"/>
  <c r="Q10" i="1"/>
  <c r="P10" i="1"/>
  <c r="S9" i="1"/>
  <c r="S40" i="1" s="1"/>
  <c r="G6" i="1" s="1"/>
  <c r="R9" i="1"/>
  <c r="Q9" i="1"/>
  <c r="P9" i="1"/>
  <c r="C6" i="1"/>
  <c r="C5" i="1"/>
  <c r="C4" i="1"/>
  <c r="C3" i="1"/>
  <c r="Q40" i="1" l="1"/>
  <c r="G4" i="1" s="1"/>
</calcChain>
</file>

<file path=xl/sharedStrings.xml><?xml version="1.0" encoding="utf-8"?>
<sst xmlns="http://schemas.openxmlformats.org/spreadsheetml/2006/main" count="50" uniqueCount="33">
  <si>
    <t>DECISION LOG</t>
  </si>
  <si>
    <t>DECISION COUNT</t>
  </si>
  <si>
    <t>Programme</t>
  </si>
  <si>
    <t>Pending</t>
  </si>
  <si>
    <t>Project</t>
  </si>
  <si>
    <t>Deferred</t>
  </si>
  <si>
    <t>Stage</t>
  </si>
  <si>
    <t>Made</t>
  </si>
  <si>
    <t>Work package</t>
  </si>
  <si>
    <t>Cancelled</t>
  </si>
  <si>
    <t>Identification</t>
  </si>
  <si>
    <t>Status</t>
  </si>
  <si>
    <t>Timing</t>
  </si>
  <si>
    <t>Comment</t>
  </si>
  <si>
    <t>Updates</t>
  </si>
  <si>
    <t>Status count</t>
  </si>
  <si>
    <t>Decision ID</t>
  </si>
  <si>
    <t>Domain</t>
  </si>
  <si>
    <t>Date Submitted</t>
  </si>
  <si>
    <t>Submitted by</t>
  </si>
  <si>
    <t>Description of decision required</t>
  </si>
  <si>
    <t>Decision maker</t>
  </si>
  <si>
    <t>Date decision is required</t>
  </si>
  <si>
    <t>Date decision was made</t>
  </si>
  <si>
    <t>Date updated</t>
  </si>
  <si>
    <t>Updated by</t>
  </si>
  <si>
    <t>Bottom4</t>
  </si>
  <si>
    <t>Column guide</t>
  </si>
  <si>
    <t>Essential</t>
  </si>
  <si>
    <t>Yellow area = Pick lists</t>
  </si>
  <si>
    <t>Customer</t>
  </si>
  <si>
    <t>Programme Board</t>
  </si>
  <si>
    <t>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</si>
</sst>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[$-409]d\-mmm\-yyyy;@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color rgb="FF003300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sz val="10"/>
      <color rgb="FFA3912A"/>
      <name val="Arial"/>
      <family val="2"/>
    </font>
    <font>
      <sz val="10"/>
      <color indexed="23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3912A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7"/>
      </bottom>
      <diagonal/>
    </border>
    <border>
      <left/>
      <right style="thin">
        <color indexed="27"/>
      </right>
      <top/>
      <bottom style="thin">
        <color indexed="27"/>
      </bottom>
      <diagonal/>
    </border>
    <border>
      <left style="thin">
        <color indexed="27"/>
      </left>
      <right/>
      <top/>
      <bottom style="thin">
        <color indexed="27"/>
      </bottom>
      <diagonal/>
    </border>
    <border>
      <left style="thin">
        <color indexed="27"/>
      </left>
      <right style="thin">
        <color indexed="27"/>
      </right>
      <top/>
      <bottom style="thin">
        <color indexed="2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27"/>
      </right>
      <top style="thin">
        <color indexed="27"/>
      </top>
      <bottom/>
      <diagonal/>
    </border>
    <border>
      <left style="thin">
        <color indexed="27"/>
      </left>
      <right style="thin">
        <color indexed="27"/>
      </right>
      <top style="thin">
        <color indexed="27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Border="1" applyAlignment="1">
      <alignment vertical="top" wrapText="1"/>
    </xf>
    <xf numFmtId="164" fontId="0" fillId="0" borderId="0" xfId="0" applyNumberFormat="1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164" fontId="1" fillId="0" borderId="0" xfId="0" applyNumberFormat="1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164" fontId="4" fillId="0" borderId="0" xfId="0" applyNumberFormat="1" applyFont="1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8" fillId="0" borderId="14" xfId="0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center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center" vertical="top" wrapText="1"/>
      <protection locked="0"/>
    </xf>
    <xf numFmtId="0" fontId="8" fillId="0" borderId="0" xfId="0" applyFont="1" applyBorder="1" applyAlignment="1">
      <alignment vertical="top" wrapText="1"/>
    </xf>
    <xf numFmtId="0" fontId="9" fillId="2" borderId="0" xfId="0" applyFont="1" applyFill="1" applyBorder="1" applyAlignment="1">
      <alignment vertical="top" wrapText="1"/>
    </xf>
    <xf numFmtId="0" fontId="10" fillId="2" borderId="0" xfId="0" applyFont="1" applyFill="1" applyBorder="1" applyAlignment="1">
      <alignment vertical="top" wrapText="1"/>
    </xf>
    <xf numFmtId="164" fontId="0" fillId="2" borderId="0" xfId="0" applyNumberFormat="1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horizontal="center" vertical="top" wrapText="1"/>
    </xf>
    <xf numFmtId="0" fontId="0" fillId="4" borderId="0" xfId="0" applyFill="1" applyBorder="1" applyAlignment="1">
      <alignment vertical="top" wrapText="1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 wrapText="1"/>
    </xf>
    <xf numFmtId="0" fontId="0" fillId="5" borderId="0" xfId="0" applyFill="1" applyBorder="1" applyAlignment="1">
      <alignment vertical="top" wrapText="1"/>
    </xf>
    <xf numFmtId="164" fontId="0" fillId="5" borderId="0" xfId="0" applyNumberFormat="1" applyFill="1" applyBorder="1" applyAlignment="1">
      <alignment vertical="top" wrapText="1"/>
    </xf>
    <xf numFmtId="0" fontId="0" fillId="5" borderId="0" xfId="0" applyFill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26" Type="http://schemas.openxmlformats.org/officeDocument/2006/relationships/customXml" Target="../customXml/item5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491067</xdr:colOff>
      <xdr:row>1</xdr:row>
      <xdr:rowOff>127000</xdr:rowOff>
    </xdr:from>
    <xdr:to>
      <xdr:col>4</xdr:col>
      <xdr:colOff>1253067</xdr:colOff>
      <xdr:row>5</xdr:row>
      <xdr:rowOff>151883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0947" y="294640"/>
          <a:ext cx="1866900" cy="7487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Stevebux\Q3%201999-00%20-%20SoHo\Q3%20Numbers\Q3CampaigncostsV2296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.bt.com/Documents%20and%20Settings/Administrator/Local%20Settings/Temporary%20Internet%20Files/OLK8/Reporting%20DataSheet%200203%20P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OBRA\Reporting%20(Cleo's%20Team)\REPORTS\YEAR%200001\IA&amp;DS%20-%20DataPack%20PERIOD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.bt.com/Documents%20and%20Settings/802301763/Local%20Settings/Temporary%20Internet%20Files/OLK30B/cps/CPS_DB_Wk%202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windows\TEMP\Campaign%20'99_'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.bt.com/Documents%20and%20Settings/Administrator/Local%20Settings/Temporary%20Internet%20Files/OLK8/Reporting%20DataSheet%200203%20P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seme.accenture.com/Documents%20and%20Settings/david.mcdonald/Local%20Settings/Temporary%20Internet%20Files/OLK17/Deep%20Dive%20-%20Risks%20and%20Issues%20Log%20-%20280206%20-%20v0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.bt.com/WINNT/Profiles/jonesd78/Temporary%20Internet%20Files/OLK5/Targets_Planning/00_01%20Files%20from%20December%2000/Inbound%20Monitoring/COT/COT.%20DRTV%20Monitor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rvices.intralinks.com/Program%20Files/Internet/OLK56/NC001%20Project%20Status%20Report%20Templa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ve.cloud.gov.ie/sites/27/ProjectPortfolioProgrammeManagementTemplatesEPPM/Shared%20Documents/Programme%20and%20Project%20Log%20Excel%20Template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windows\TEMP\Prop_Mod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%20Info\Templates\02.%20Templates%20under%20review\Project%20Workbook%20v3.3%20-%20all%20macros%20remove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.bt.com/TEMP%20/Reporting%20DataSheet%200203%20P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.intra.bt.com/BECKTON/R2.1/project%20log%20(MS)/ENG-PGM-MGT-008%20-%20Microsoft%20Project%20Log%20(13%20Oct%2004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fs02\users$\Documents%20and%20Settings\mwebster\My%20Documents\Deloitte\Clients\NTL\N5%20NOC%20Consolidation\Project%20Management\Reporting\Project%20Workbook\Workbook2006111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.bt.com/TEMP%20/Reporting%20DataSheet%200203%20P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HO"/>
      <sheetName val="Q3 Costs"/>
      <sheetName val="Q2 Costs"/>
      <sheetName val="Q2 CC"/>
      <sheetName val="Q1 Matrix (Needs Updating)"/>
    </sheetNames>
    <sheetDataSet>
      <sheetData sheetId="0" refreshError="1">
        <row r="38">
          <cell r="L38" t="str">
            <v>2nd line bus</v>
          </cell>
          <cell r="M38">
            <v>0</v>
          </cell>
        </row>
        <row r="39">
          <cell r="L39" t="str">
            <v>2nd line res</v>
          </cell>
          <cell r="M39">
            <v>25</v>
          </cell>
        </row>
        <row r="40">
          <cell r="L40" t="str">
            <v>acquis</v>
          </cell>
          <cell r="M40">
            <v>20</v>
          </cell>
        </row>
        <row r="41">
          <cell r="L41" t="str">
            <v>bus adv</v>
          </cell>
          <cell r="M41">
            <v>200</v>
          </cell>
        </row>
        <row r="42">
          <cell r="L42" t="str">
            <v>call sign switch</v>
          </cell>
          <cell r="M42">
            <v>100</v>
          </cell>
        </row>
        <row r="43">
          <cell r="L43" t="str">
            <v>highway bus</v>
          </cell>
          <cell r="M43">
            <v>0</v>
          </cell>
        </row>
        <row r="44">
          <cell r="L44" t="str">
            <v>highway res</v>
          </cell>
          <cell r="M44">
            <v>25</v>
          </cell>
        </row>
        <row r="45">
          <cell r="L45" t="str">
            <v>nat w/end</v>
          </cell>
          <cell r="M45">
            <v>100</v>
          </cell>
        </row>
        <row r="46">
          <cell r="L46" t="str">
            <v>b zero</v>
          </cell>
          <cell r="M46">
            <v>30</v>
          </cell>
        </row>
        <row r="47">
          <cell r="L47" t="str">
            <v>service</v>
          </cell>
          <cell r="M47">
            <v>200</v>
          </cell>
        </row>
        <row r="103">
          <cell r="M103">
            <v>45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Co Tot Calls Data Sheet"/>
      <sheetName val="ProductCo Tot Calls Output"/>
      <sheetName val="Consumer Calls Output"/>
      <sheetName val="SME Calls Output"/>
      <sheetName val="MB Calls Output"/>
      <sheetName val="Non Retail Calls Output"/>
      <sheetName val="CALLS Charts"/>
      <sheetName val="Consumer Calls Data Sheet"/>
      <sheetName val="Non Retail Calls Data Sheet"/>
      <sheetName val="SME Calls Data Sheet"/>
      <sheetName val="MB Calls Data Sheet"/>
      <sheetName val="Consumer Lines Data Sheet"/>
      <sheetName val="ProductCo Lines Data Sheet"/>
      <sheetName val="SME Lines Data Sheet"/>
      <sheetName val="MB Lines Data Sheet"/>
      <sheetName val="Non Retail Lines Data Sheet"/>
      <sheetName val="Consumer Lines Output"/>
      <sheetName val="SME Lines Output"/>
      <sheetName val="MB Lines Output"/>
      <sheetName val="Non Retail Lines Output"/>
      <sheetName val="ProductCo Lines Output"/>
      <sheetName val="PUC's"/>
      <sheetName val="Data She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ProductCo Lines Total Gross Margin</v>
          </cell>
        </row>
        <row r="2">
          <cell r="F2" t="str">
            <v>Cum To Period</v>
          </cell>
          <cell r="G2">
            <v>4</v>
          </cell>
        </row>
        <row r="4">
          <cell r="C4" t="str">
            <v>Current YTD Cum</v>
          </cell>
          <cell r="F4" t="str">
            <v>Prior Year YTD</v>
          </cell>
          <cell r="I4" t="str">
            <v>Full Year</v>
          </cell>
        </row>
        <row r="5">
          <cell r="B5" t="str">
            <v>Lines</v>
          </cell>
          <cell r="C5" t="str">
            <v>YTD Act</v>
          </cell>
          <cell r="D5" t="str">
            <v>YTD Var to Stretch QPB Better / (Worse)</v>
          </cell>
          <cell r="E5" t="str">
            <v>Var % Better / (Worse)</v>
          </cell>
          <cell r="F5" t="str">
            <v>Act</v>
          </cell>
          <cell r="G5" t="str">
            <v>Yr on Yr Var Better / (Worse)</v>
          </cell>
          <cell r="H5" t="str">
            <v>Yr on Yr Var % Better / (Worse)</v>
          </cell>
          <cell r="I5" t="str">
            <v>Forecast</v>
          </cell>
          <cell r="J5" t="str">
            <v>FY F'Cast Var to Stretch QPB Better / (Worse)</v>
          </cell>
          <cell r="K5" t="str">
            <v>Var % Better / (Worse)</v>
          </cell>
        </row>
        <row r="7">
          <cell r="B7" t="str">
            <v>Connections</v>
          </cell>
        </row>
        <row r="8">
          <cell r="B8" t="str">
            <v>Channels Supplied K</v>
          </cell>
          <cell r="C8">
            <v>1088.2703800756979</v>
          </cell>
          <cell r="D8">
            <v>-120.73196795147487</v>
          </cell>
          <cell r="E8">
            <v>-9.9860821733293595E-2</v>
          </cell>
          <cell r="F8">
            <v>1250.6297766256207</v>
          </cell>
          <cell r="G8">
            <v>-162.35939654992285</v>
          </cell>
          <cell r="H8">
            <v>-0.12982211009559672</v>
          </cell>
          <cell r="I8">
            <v>1401.9018306350013</v>
          </cell>
          <cell r="J8">
            <v>-2216.1504742843722</v>
          </cell>
          <cell r="K8">
            <v>-0.61252582536497024</v>
          </cell>
        </row>
        <row r="9">
          <cell r="B9" t="str">
            <v>Gross Revenue £m</v>
          </cell>
          <cell r="C9">
            <v>62.954860000000004</v>
          </cell>
          <cell r="D9">
            <v>-8.2789999999999893</v>
          </cell>
          <cell r="E9">
            <v>-0.11622281875501328</v>
          </cell>
          <cell r="F9">
            <v>59.381189999999997</v>
          </cell>
          <cell r="G9">
            <v>3.573670000000007</v>
          </cell>
          <cell r="H9">
            <v>6.0181852199324523E-2</v>
          </cell>
          <cell r="I9">
            <v>62.954860000000004</v>
          </cell>
          <cell r="J9">
            <v>-8.2789999999999893</v>
          </cell>
          <cell r="K9">
            <v>-0.11622281875501328</v>
          </cell>
        </row>
        <row r="11">
          <cell r="B11" t="str">
            <v>Total PUC's</v>
          </cell>
          <cell r="C11">
            <v>129.684</v>
          </cell>
          <cell r="D11">
            <v>6.4420977247690701</v>
          </cell>
          <cell r="E11">
            <v>4.7324486872416138E-2</v>
          </cell>
          <cell r="F11">
            <v>149.999</v>
          </cell>
          <cell r="G11">
            <v>20.314999999999998</v>
          </cell>
          <cell r="H11">
            <v>0.13543423622824152</v>
          </cell>
          <cell r="I11">
            <v>129.684</v>
          </cell>
          <cell r="J11">
            <v>291.84659844595399</v>
          </cell>
          <cell r="K11">
            <v>0.69234973575322256</v>
          </cell>
        </row>
        <row r="13">
          <cell r="B13" t="str">
            <v>Gross Margin</v>
          </cell>
          <cell r="C13">
            <v>-66.729140000000001</v>
          </cell>
          <cell r="D13">
            <v>-1.8369022752309192</v>
          </cell>
          <cell r="E13">
            <v>-2.8306964586764155E-2</v>
          </cell>
          <cell r="F13">
            <v>-90.617809999999992</v>
          </cell>
          <cell r="G13">
            <v>23.888670000000005</v>
          </cell>
          <cell r="H13">
            <v>0.26362003230932207</v>
          </cell>
          <cell r="I13">
            <v>-66.729140000000001</v>
          </cell>
          <cell r="J13">
            <v>283.56759844595399</v>
          </cell>
          <cell r="K13">
            <v>0.80950681900141241</v>
          </cell>
        </row>
        <row r="14">
          <cell r="B14" t="str">
            <v>Gross Margin %</v>
          </cell>
          <cell r="C14">
            <v>-1.0599521625494839</v>
          </cell>
          <cell r="D14">
            <v>-0.14897755405895585</v>
          </cell>
          <cell r="F14">
            <v>-1.5260356015095016</v>
          </cell>
          <cell r="G14">
            <v>0.46608343896001769</v>
          </cell>
          <cell r="I14">
            <v>-1.0599521625494839</v>
          </cell>
          <cell r="J14">
            <v>3.857607245939036</v>
          </cell>
        </row>
        <row r="16">
          <cell r="B16" t="str">
            <v>ARPU £ Per Channel</v>
          </cell>
          <cell r="C16">
            <v>57.848546788180514</v>
          </cell>
          <cell r="D16">
            <v>-1.0709913882655897</v>
          </cell>
          <cell r="F16">
            <v>47.481030045693458</v>
          </cell>
          <cell r="G16">
            <v>10.367516742487055</v>
          </cell>
          <cell r="I16">
            <v>44.906753543138009</v>
          </cell>
          <cell r="J16">
            <v>25.218298541217468</v>
          </cell>
        </row>
        <row r="17">
          <cell r="B17" t="str">
            <v>AMPU £ Per Channel</v>
          </cell>
          <cell r="C17">
            <v>-61.316692268476935</v>
          </cell>
          <cell r="D17">
            <v>-7.642489045746224</v>
          </cell>
          <cell r="F17">
            <v>-72.457742246070538</v>
          </cell>
          <cell r="G17">
            <v>11.141049977593603</v>
          </cell>
          <cell r="I17">
            <v>-47.599010531125828</v>
          </cell>
          <cell r="J17">
            <v>49.220136602171422</v>
          </cell>
        </row>
        <row r="18">
          <cell r="B18" t="str">
            <v>Rentals</v>
          </cell>
        </row>
        <row r="19">
          <cell r="B19" t="str">
            <v>Channels RSS K</v>
          </cell>
          <cell r="C19">
            <v>28162.34</v>
          </cell>
          <cell r="D19">
            <v>121.65018672245787</v>
          </cell>
          <cell r="E19">
            <v>4.3383450097884291E-3</v>
          </cell>
          <cell r="F19">
            <v>28071.390000000003</v>
          </cell>
          <cell r="G19">
            <v>90.94999999999709</v>
          </cell>
          <cell r="H19">
            <v>3.2399535612592421E-3</v>
          </cell>
          <cell r="I19">
            <v>0</v>
          </cell>
          <cell r="J19">
            <v>-27655.509755550633</v>
          </cell>
          <cell r="K19">
            <v>-1</v>
          </cell>
        </row>
        <row r="20">
          <cell r="B20" t="str">
            <v>Gross Revenue £m</v>
          </cell>
          <cell r="C20">
            <v>1215.5230100000003</v>
          </cell>
          <cell r="D20">
            <v>-6.1181499999997868</v>
          </cell>
          <cell r="E20">
            <v>-5.0081400335265274E-3</v>
          </cell>
          <cell r="F20">
            <v>1165.7650800000001</v>
          </cell>
          <cell r="G20">
            <v>49.757930000000215</v>
          </cell>
          <cell r="H20">
            <v>4.2682638941286703E-2</v>
          </cell>
          <cell r="I20">
            <v>1215.5230100000003</v>
          </cell>
          <cell r="J20">
            <v>-6.1181499999997868</v>
          </cell>
          <cell r="K20">
            <v>-5.0081400335265274E-3</v>
          </cell>
        </row>
        <row r="22">
          <cell r="B22" t="str">
            <v>Total PUC's</v>
          </cell>
          <cell r="C22">
            <v>992.9197587447884</v>
          </cell>
          <cell r="D22">
            <v>-2.0939350337348515</v>
          </cell>
          <cell r="E22">
            <v>-2.1044283579487433E-3</v>
          </cell>
          <cell r="F22">
            <v>1010.2545692572528</v>
          </cell>
          <cell r="G22">
            <v>17.334810512464401</v>
          </cell>
          <cell r="H22">
            <v>1.7158853857210554E-2</v>
          </cell>
          <cell r="I22">
            <v>992.9197587447884</v>
          </cell>
          <cell r="J22">
            <v>1988.6917659925348</v>
          </cell>
          <cell r="K22">
            <v>-1.9971356410079839</v>
          </cell>
        </row>
        <row r="24">
          <cell r="B24" t="str">
            <v>Gross Margin</v>
          </cell>
          <cell r="C24">
            <v>222.60325125521194</v>
          </cell>
          <cell r="D24">
            <v>-8.2120850337346383</v>
          </cell>
          <cell r="E24">
            <v>3.5578593544816822E-2</v>
          </cell>
          <cell r="F24">
            <v>155.51051074274733</v>
          </cell>
          <cell r="G24">
            <v>67.092740512464616</v>
          </cell>
          <cell r="H24">
            <v>-0.43143540711182232</v>
          </cell>
          <cell r="I24">
            <v>222.60325125521194</v>
          </cell>
          <cell r="J24">
            <v>1982.573615992535</v>
          </cell>
          <cell r="K24">
            <v>1.1264812497501546</v>
          </cell>
        </row>
        <row r="25">
          <cell r="B25" t="str">
            <v>Gross Margin %</v>
          </cell>
          <cell r="C25">
            <v>0.18313372056627039</v>
          </cell>
          <cell r="D25">
            <v>-5.8050151660346272E-3</v>
          </cell>
          <cell r="F25">
            <v>0.13339781179819463</v>
          </cell>
          <cell r="G25">
            <v>4.9735908768075765E-2</v>
          </cell>
          <cell r="I25">
            <v>0.18313372056627039</v>
          </cell>
          <cell r="J25">
            <v>1.6237943845679015</v>
          </cell>
        </row>
        <row r="27">
          <cell r="B27" t="str">
            <v>ARPU £ Per Chan Per Year</v>
          </cell>
          <cell r="C27">
            <v>129.47129976259166</v>
          </cell>
          <cell r="D27">
            <v>-0.97858666798859417</v>
          </cell>
          <cell r="F27">
            <v>124.73820461004291</v>
          </cell>
          <cell r="G27">
            <v>4.7330951525487421</v>
          </cell>
          <cell r="I27">
            <v>103.5781932704805</v>
          </cell>
          <cell r="J27">
            <v>59.845243382442746</v>
          </cell>
        </row>
        <row r="28">
          <cell r="B28" t="str">
            <v>AMPU £ Per Chan Per Year</v>
          </cell>
          <cell r="C28">
            <v>23.710560832074293</v>
          </cell>
          <cell r="D28">
            <v>-0.93647578654231367</v>
          </cell>
          <cell r="F28">
            <v>16.639803542615201</v>
          </cell>
          <cell r="G28">
            <v>7.0707572894590918</v>
          </cell>
          <cell r="I28">
            <v>18.968659903155327</v>
          </cell>
          <cell r="J28">
            <v>81.973000527605848</v>
          </cell>
        </row>
      </sheetData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DATA"/>
      <sheetName val="TSE"/>
      <sheetName val="PFM &amp; SS"/>
      <sheetName val="SALESDESK"/>
      <sheetName val="shn"/>
      <sheetName val="August 2000"/>
      <sheetName val="September 2000"/>
      <sheetName val="October 2000"/>
      <sheetName val="November 2000"/>
      <sheetName val="December 2000"/>
      <sheetName val="Graphical View"/>
      <sheetName val="monday"/>
      <sheetName val="tuesday"/>
      <sheetName val="wednesday"/>
      <sheetName val="thursday"/>
      <sheetName val="friday"/>
      <sheetName val="saturday"/>
      <sheetName val="sunday"/>
    </sheetNames>
    <sheetDataSet>
      <sheetData sheetId="0" refreshError="1">
        <row r="1">
          <cell r="A1" t="str">
            <v>Prod-set</v>
          </cell>
          <cell r="B1" t="str">
            <v>Product</v>
          </cell>
          <cell r="C1" t="str">
            <v>Measure</v>
          </cell>
          <cell r="D1" t="str">
            <v>Detail</v>
          </cell>
          <cell r="E1" t="str">
            <v>APR 99</v>
          </cell>
          <cell r="F1" t="str">
            <v>MAY 99</v>
          </cell>
          <cell r="G1" t="str">
            <v>JUN 99</v>
          </cell>
          <cell r="H1" t="str">
            <v>JUL 99</v>
          </cell>
          <cell r="I1" t="str">
            <v>AUG 99</v>
          </cell>
          <cell r="J1" t="str">
            <v>SEP 99</v>
          </cell>
          <cell r="K1" t="str">
            <v>OCT 99</v>
          </cell>
          <cell r="L1" t="str">
            <v>NOV 99</v>
          </cell>
          <cell r="M1" t="str">
            <v>DEC 99</v>
          </cell>
          <cell r="N1" t="str">
            <v>JAN 00</v>
          </cell>
          <cell r="O1" t="str">
            <v>FEB 00</v>
          </cell>
          <cell r="P1" t="str">
            <v>MAR 00</v>
          </cell>
          <cell r="Q1" t="str">
            <v>APR 00</v>
          </cell>
          <cell r="R1" t="str">
            <v>MAY 00</v>
          </cell>
          <cell r="S1" t="str">
            <v>JUN 00</v>
          </cell>
          <cell r="T1" t="str">
            <v>JUL 00</v>
          </cell>
          <cell r="U1" t="str">
            <v>AUG 00</v>
          </cell>
          <cell r="V1" t="str">
            <v>SEP 00</v>
          </cell>
          <cell r="W1" t="str">
            <v>OCT 00</v>
          </cell>
          <cell r="X1" t="str">
            <v>NOV 00</v>
          </cell>
          <cell r="Y1" t="str">
            <v>DEC 00</v>
          </cell>
          <cell r="Z1" t="str">
            <v>JAN 01</v>
          </cell>
          <cell r="AA1" t="str">
            <v>FEB 01</v>
          </cell>
          <cell r="AB1" t="str">
            <v>MAR 01</v>
          </cell>
        </row>
        <row r="2">
          <cell r="A2" t="str">
            <v>ICS</v>
          </cell>
          <cell r="B2" t="str">
            <v>CellStream</v>
          </cell>
          <cell r="C2" t="str">
            <v>Cessations</v>
          </cell>
          <cell r="D2" t="str">
            <v>Actual</v>
          </cell>
          <cell r="E2">
            <v>1</v>
          </cell>
          <cell r="F2">
            <v>2</v>
          </cell>
          <cell r="G2">
            <v>2</v>
          </cell>
          <cell r="H2">
            <v>3</v>
          </cell>
          <cell r="I2">
            <v>3</v>
          </cell>
          <cell r="J2">
            <v>0</v>
          </cell>
          <cell r="K2">
            <v>3</v>
          </cell>
          <cell r="L2">
            <v>0</v>
          </cell>
          <cell r="M2">
            <v>2</v>
          </cell>
          <cell r="N2">
            <v>4</v>
          </cell>
          <cell r="O2">
            <v>3</v>
          </cell>
          <cell r="P2">
            <v>18</v>
          </cell>
          <cell r="Q2">
            <v>3</v>
          </cell>
          <cell r="R2">
            <v>0</v>
          </cell>
          <cell r="S2">
            <v>1</v>
          </cell>
          <cell r="T2">
            <v>4</v>
          </cell>
        </row>
        <row r="3">
          <cell r="A3" t="str">
            <v>ICS</v>
          </cell>
          <cell r="B3" t="str">
            <v>CellStream</v>
          </cell>
          <cell r="C3" t="str">
            <v>Cessations</v>
          </cell>
          <cell r="D3" t="str">
            <v>Budget</v>
          </cell>
          <cell r="E3">
            <v>0</v>
          </cell>
          <cell r="F3">
            <v>0</v>
          </cell>
          <cell r="G3">
            <v>2</v>
          </cell>
          <cell r="H3">
            <v>4</v>
          </cell>
          <cell r="I3">
            <v>3</v>
          </cell>
          <cell r="J3">
            <v>4</v>
          </cell>
          <cell r="K3">
            <v>5</v>
          </cell>
          <cell r="L3">
            <v>1</v>
          </cell>
          <cell r="M3">
            <v>0</v>
          </cell>
          <cell r="N3">
            <v>0</v>
          </cell>
          <cell r="O3">
            <v>1</v>
          </cell>
          <cell r="P3">
            <v>9</v>
          </cell>
          <cell r="Q3">
            <v>0</v>
          </cell>
          <cell r="R3">
            <v>1</v>
          </cell>
          <cell r="S3">
            <v>2</v>
          </cell>
          <cell r="T3">
            <v>4</v>
          </cell>
        </row>
        <row r="4">
          <cell r="A4" t="str">
            <v>ICS</v>
          </cell>
          <cell r="B4" t="str">
            <v>CellStream</v>
          </cell>
          <cell r="C4" t="str">
            <v>Demand</v>
          </cell>
          <cell r="D4" t="str">
            <v>Actual</v>
          </cell>
          <cell r="E4">
            <v>17</v>
          </cell>
          <cell r="F4">
            <v>38</v>
          </cell>
          <cell r="G4">
            <v>64</v>
          </cell>
          <cell r="H4">
            <v>74</v>
          </cell>
          <cell r="I4">
            <v>36</v>
          </cell>
          <cell r="J4">
            <v>41</v>
          </cell>
          <cell r="K4">
            <v>14</v>
          </cell>
          <cell r="L4">
            <v>23</v>
          </cell>
          <cell r="M4">
            <v>57</v>
          </cell>
          <cell r="N4">
            <v>60</v>
          </cell>
          <cell r="O4">
            <v>63</v>
          </cell>
          <cell r="P4">
            <v>34</v>
          </cell>
          <cell r="Q4">
            <v>173</v>
          </cell>
          <cell r="R4">
            <v>120</v>
          </cell>
          <cell r="S4">
            <v>77</v>
          </cell>
          <cell r="T4">
            <v>69</v>
          </cell>
        </row>
        <row r="5">
          <cell r="A5" t="str">
            <v>ICS</v>
          </cell>
          <cell r="B5" t="str">
            <v>CellStream</v>
          </cell>
          <cell r="C5" t="str">
            <v>Demand</v>
          </cell>
          <cell r="D5" t="str">
            <v>Budget</v>
          </cell>
          <cell r="E5">
            <v>33</v>
          </cell>
          <cell r="F5">
            <v>33</v>
          </cell>
          <cell r="G5">
            <v>45</v>
          </cell>
          <cell r="H5">
            <v>52</v>
          </cell>
          <cell r="I5">
            <v>59</v>
          </cell>
          <cell r="J5">
            <v>90</v>
          </cell>
          <cell r="K5">
            <v>57</v>
          </cell>
          <cell r="L5">
            <v>8</v>
          </cell>
          <cell r="M5">
            <v>4</v>
          </cell>
          <cell r="N5">
            <v>5</v>
          </cell>
          <cell r="O5">
            <v>7</v>
          </cell>
          <cell r="P5">
            <v>50</v>
          </cell>
          <cell r="Q5">
            <v>44</v>
          </cell>
          <cell r="R5">
            <v>82</v>
          </cell>
          <cell r="S5">
            <v>92</v>
          </cell>
          <cell r="T5">
            <v>92</v>
          </cell>
        </row>
        <row r="6">
          <cell r="A6" t="str">
            <v>ICS</v>
          </cell>
          <cell r="B6" t="str">
            <v>CellStream</v>
          </cell>
          <cell r="C6" t="str">
            <v>OIH</v>
          </cell>
          <cell r="D6" t="str">
            <v>Actual</v>
          </cell>
          <cell r="E6">
            <v>99</v>
          </cell>
          <cell r="F6">
            <v>112</v>
          </cell>
          <cell r="G6">
            <v>163</v>
          </cell>
          <cell r="H6">
            <v>236</v>
          </cell>
          <cell r="I6">
            <v>264</v>
          </cell>
          <cell r="J6">
            <v>191</v>
          </cell>
          <cell r="K6">
            <v>204</v>
          </cell>
          <cell r="L6">
            <v>193</v>
          </cell>
          <cell r="M6">
            <v>197</v>
          </cell>
          <cell r="N6">
            <v>239</v>
          </cell>
          <cell r="O6">
            <v>283</v>
          </cell>
          <cell r="P6">
            <v>274</v>
          </cell>
          <cell r="Q6">
            <v>415</v>
          </cell>
          <cell r="R6">
            <v>516</v>
          </cell>
          <cell r="S6">
            <v>587</v>
          </cell>
          <cell r="T6">
            <v>852</v>
          </cell>
        </row>
        <row r="7">
          <cell r="A7" t="str">
            <v>ICS</v>
          </cell>
          <cell r="B7" t="str">
            <v>CellStream</v>
          </cell>
          <cell r="C7" t="str">
            <v>RSS</v>
          </cell>
          <cell r="D7" t="str">
            <v>Actual</v>
          </cell>
          <cell r="E7">
            <v>297</v>
          </cell>
          <cell r="F7">
            <v>320</v>
          </cell>
          <cell r="G7">
            <v>334</v>
          </cell>
          <cell r="H7">
            <v>335</v>
          </cell>
          <cell r="I7">
            <v>344</v>
          </cell>
          <cell r="J7">
            <v>399</v>
          </cell>
          <cell r="K7">
            <v>432</v>
          </cell>
          <cell r="L7">
            <v>471</v>
          </cell>
          <cell r="M7">
            <v>475</v>
          </cell>
          <cell r="N7">
            <v>488</v>
          </cell>
          <cell r="O7">
            <v>499</v>
          </cell>
          <cell r="P7">
            <v>531</v>
          </cell>
          <cell r="Q7">
            <v>506</v>
          </cell>
          <cell r="R7">
            <v>532</v>
          </cell>
          <cell r="S7">
            <v>538</v>
          </cell>
          <cell r="T7">
            <v>582</v>
          </cell>
        </row>
        <row r="8">
          <cell r="A8" t="str">
            <v>ICS</v>
          </cell>
          <cell r="B8" t="str">
            <v>CellStream</v>
          </cell>
          <cell r="C8" t="str">
            <v>RSS</v>
          </cell>
          <cell r="D8" t="str">
            <v>Budget</v>
          </cell>
          <cell r="E8">
            <v>296.10000000000002</v>
          </cell>
          <cell r="F8">
            <v>325.8</v>
          </cell>
          <cell r="G8">
            <v>364.5</v>
          </cell>
          <cell r="H8">
            <v>407.7</v>
          </cell>
          <cell r="I8">
            <v>458.1</v>
          </cell>
          <cell r="J8">
            <v>535.5</v>
          </cell>
          <cell r="K8">
            <v>582.29999999999995</v>
          </cell>
          <cell r="L8">
            <v>588.6</v>
          </cell>
          <cell r="M8">
            <v>592.20000000000005</v>
          </cell>
          <cell r="N8">
            <v>596.70000000000005</v>
          </cell>
          <cell r="O8">
            <v>602.1</v>
          </cell>
          <cell r="P8">
            <v>639</v>
          </cell>
          <cell r="Q8">
            <v>537.29999999999995</v>
          </cell>
          <cell r="R8">
            <v>585.9</v>
          </cell>
          <cell r="S8">
            <v>645.29999999999995</v>
          </cell>
          <cell r="T8">
            <v>714.6</v>
          </cell>
        </row>
        <row r="9">
          <cell r="A9" t="str">
            <v>ICS</v>
          </cell>
          <cell r="B9" t="str">
            <v>CellStream</v>
          </cell>
          <cell r="C9" t="str">
            <v>Supply</v>
          </cell>
          <cell r="D9" t="str">
            <v>Actual</v>
          </cell>
          <cell r="E9">
            <v>10</v>
          </cell>
          <cell r="F9">
            <v>17</v>
          </cell>
          <cell r="G9">
            <v>24</v>
          </cell>
          <cell r="H9">
            <v>4</v>
          </cell>
          <cell r="I9">
            <v>15</v>
          </cell>
          <cell r="J9">
            <v>57</v>
          </cell>
          <cell r="K9">
            <v>35</v>
          </cell>
          <cell r="L9">
            <v>39</v>
          </cell>
          <cell r="M9">
            <v>16</v>
          </cell>
          <cell r="N9">
            <v>13</v>
          </cell>
          <cell r="O9">
            <v>15</v>
          </cell>
          <cell r="P9">
            <v>50</v>
          </cell>
          <cell r="Q9">
            <v>28</v>
          </cell>
          <cell r="R9">
            <v>17</v>
          </cell>
          <cell r="S9">
            <v>7</v>
          </cell>
          <cell r="T9">
            <v>52</v>
          </cell>
        </row>
        <row r="10">
          <cell r="A10" t="str">
            <v>ICS</v>
          </cell>
          <cell r="B10" t="str">
            <v>CellStream</v>
          </cell>
          <cell r="C10" t="str">
            <v>Supply</v>
          </cell>
          <cell r="D10" t="str">
            <v>Budget</v>
          </cell>
          <cell r="E10">
            <v>33</v>
          </cell>
          <cell r="F10">
            <v>33</v>
          </cell>
          <cell r="G10">
            <v>45</v>
          </cell>
          <cell r="H10">
            <v>52</v>
          </cell>
          <cell r="I10">
            <v>59</v>
          </cell>
          <cell r="J10">
            <v>90</v>
          </cell>
          <cell r="K10">
            <v>57</v>
          </cell>
          <cell r="L10">
            <v>8</v>
          </cell>
          <cell r="M10">
            <v>4</v>
          </cell>
          <cell r="N10">
            <v>5</v>
          </cell>
          <cell r="O10">
            <v>7</v>
          </cell>
          <cell r="P10">
            <v>50</v>
          </cell>
          <cell r="Q10">
            <v>44</v>
          </cell>
          <cell r="R10">
            <v>55</v>
          </cell>
          <cell r="S10">
            <v>68</v>
          </cell>
          <cell r="T10">
            <v>81</v>
          </cell>
        </row>
        <row r="11">
          <cell r="A11" t="str">
            <v>ICS</v>
          </cell>
          <cell r="B11" t="str">
            <v>CellStream</v>
          </cell>
          <cell r="C11" t="str">
            <v>WSS</v>
          </cell>
          <cell r="D11" t="str">
            <v>Actual</v>
          </cell>
          <cell r="E11">
            <v>305</v>
          </cell>
          <cell r="F11">
            <v>320</v>
          </cell>
          <cell r="G11">
            <v>344</v>
          </cell>
          <cell r="H11">
            <v>348</v>
          </cell>
          <cell r="I11">
            <v>359</v>
          </cell>
          <cell r="J11">
            <v>415</v>
          </cell>
          <cell r="K11">
            <v>450</v>
          </cell>
          <cell r="L11">
            <v>488</v>
          </cell>
          <cell r="M11">
            <v>498</v>
          </cell>
          <cell r="N11">
            <v>508</v>
          </cell>
          <cell r="O11">
            <v>523</v>
          </cell>
          <cell r="P11">
            <v>564</v>
          </cell>
          <cell r="Q11">
            <v>5</v>
          </cell>
          <cell r="R11">
            <v>9</v>
          </cell>
          <cell r="S11">
            <v>0</v>
          </cell>
          <cell r="T11">
            <v>8</v>
          </cell>
        </row>
        <row r="12">
          <cell r="A12" t="str">
            <v>ICS</v>
          </cell>
          <cell r="B12" t="str">
            <v>CellStream</v>
          </cell>
          <cell r="C12" t="str">
            <v>WSS</v>
          </cell>
          <cell r="D12" t="str">
            <v>Budget</v>
          </cell>
          <cell r="E12">
            <v>329</v>
          </cell>
          <cell r="F12">
            <v>362</v>
          </cell>
          <cell r="G12">
            <v>405</v>
          </cell>
          <cell r="H12">
            <v>453</v>
          </cell>
          <cell r="I12">
            <v>509</v>
          </cell>
          <cell r="J12">
            <v>595</v>
          </cell>
          <cell r="K12">
            <v>647</v>
          </cell>
          <cell r="L12">
            <v>654</v>
          </cell>
          <cell r="M12">
            <v>658</v>
          </cell>
          <cell r="N12">
            <v>663</v>
          </cell>
          <cell r="O12">
            <v>669</v>
          </cell>
          <cell r="P12">
            <v>710</v>
          </cell>
          <cell r="Q12">
            <v>11</v>
          </cell>
          <cell r="R12">
            <v>10.8</v>
          </cell>
          <cell r="S12">
            <v>16.5</v>
          </cell>
          <cell r="T12">
            <v>19.25</v>
          </cell>
        </row>
        <row r="13">
          <cell r="A13" t="str">
            <v>ICS</v>
          </cell>
          <cell r="B13" t="str">
            <v>FrameStream</v>
          </cell>
          <cell r="C13" t="str">
            <v>Cessations</v>
          </cell>
          <cell r="D13" t="str">
            <v>Actual</v>
          </cell>
          <cell r="E13">
            <v>9</v>
          </cell>
          <cell r="F13">
            <v>4</v>
          </cell>
          <cell r="G13">
            <v>7</v>
          </cell>
          <cell r="H13">
            <v>6</v>
          </cell>
          <cell r="I13">
            <v>3</v>
          </cell>
          <cell r="J13">
            <v>59</v>
          </cell>
          <cell r="K13">
            <v>11</v>
          </cell>
          <cell r="L13">
            <v>31</v>
          </cell>
          <cell r="M13">
            <v>27</v>
          </cell>
          <cell r="N13">
            <v>24</v>
          </cell>
          <cell r="O13">
            <v>34</v>
          </cell>
          <cell r="P13">
            <v>50</v>
          </cell>
          <cell r="Q13">
            <v>160</v>
          </cell>
          <cell r="R13">
            <v>96</v>
          </cell>
          <cell r="S13">
            <v>66</v>
          </cell>
          <cell r="T13">
            <v>59</v>
          </cell>
        </row>
        <row r="14">
          <cell r="A14" t="str">
            <v>ICS</v>
          </cell>
          <cell r="B14" t="str">
            <v>FrameStream</v>
          </cell>
          <cell r="C14" t="str">
            <v>Cessations</v>
          </cell>
          <cell r="D14" t="str">
            <v>Budget</v>
          </cell>
          <cell r="E14">
            <v>4</v>
          </cell>
          <cell r="F14">
            <v>10</v>
          </cell>
          <cell r="G14">
            <v>19</v>
          </cell>
          <cell r="H14">
            <v>26</v>
          </cell>
          <cell r="I14">
            <v>40</v>
          </cell>
          <cell r="J14">
            <v>49</v>
          </cell>
          <cell r="K14">
            <v>48</v>
          </cell>
          <cell r="L14">
            <v>27</v>
          </cell>
          <cell r="M14">
            <v>15.5</v>
          </cell>
          <cell r="N14">
            <v>26</v>
          </cell>
          <cell r="O14">
            <v>43</v>
          </cell>
          <cell r="P14">
            <v>50</v>
          </cell>
          <cell r="Q14">
            <v>96</v>
          </cell>
          <cell r="R14">
            <v>121</v>
          </cell>
          <cell r="S14">
            <v>96</v>
          </cell>
          <cell r="T14">
            <v>96</v>
          </cell>
        </row>
        <row r="15">
          <cell r="A15" t="str">
            <v>ICS</v>
          </cell>
          <cell r="B15" t="str">
            <v>FrameStream</v>
          </cell>
          <cell r="C15" t="str">
            <v>Demand</v>
          </cell>
          <cell r="D15" t="str">
            <v>Actual</v>
          </cell>
          <cell r="E15">
            <v>549</v>
          </cell>
          <cell r="F15">
            <v>455</v>
          </cell>
          <cell r="G15">
            <v>467</v>
          </cell>
          <cell r="H15">
            <v>399</v>
          </cell>
          <cell r="I15">
            <v>502</v>
          </cell>
          <cell r="J15">
            <v>665</v>
          </cell>
          <cell r="K15">
            <v>585</v>
          </cell>
          <cell r="L15">
            <v>498</v>
          </cell>
          <cell r="M15">
            <v>418</v>
          </cell>
          <cell r="N15">
            <v>391</v>
          </cell>
          <cell r="O15">
            <v>615</v>
          </cell>
          <cell r="P15">
            <v>864</v>
          </cell>
          <cell r="Q15">
            <v>965</v>
          </cell>
          <cell r="R15">
            <v>796</v>
          </cell>
          <cell r="S15">
            <v>669</v>
          </cell>
          <cell r="T15">
            <v>772</v>
          </cell>
        </row>
        <row r="16">
          <cell r="A16" t="str">
            <v>ICS</v>
          </cell>
          <cell r="B16" t="str">
            <v>FrameStream</v>
          </cell>
          <cell r="C16" t="str">
            <v>Demand</v>
          </cell>
          <cell r="D16" t="str">
            <v>Budget</v>
          </cell>
          <cell r="E16">
            <v>412</v>
          </cell>
          <cell r="F16">
            <v>501.89</v>
          </cell>
          <cell r="G16">
            <v>550.39</v>
          </cell>
          <cell r="H16">
            <v>585.09</v>
          </cell>
          <cell r="I16">
            <v>659.56</v>
          </cell>
          <cell r="J16">
            <v>727.14</v>
          </cell>
          <cell r="K16">
            <v>727.14</v>
          </cell>
          <cell r="L16">
            <v>369.65</v>
          </cell>
          <cell r="M16">
            <v>205.23</v>
          </cell>
          <cell r="N16">
            <v>339.44</v>
          </cell>
          <cell r="O16">
            <v>667.19</v>
          </cell>
          <cell r="P16">
            <v>785.03</v>
          </cell>
          <cell r="Q16">
            <v>580</v>
          </cell>
          <cell r="R16">
            <v>826</v>
          </cell>
          <cell r="S16">
            <v>746</v>
          </cell>
          <cell r="T16">
            <v>774</v>
          </cell>
        </row>
        <row r="17">
          <cell r="A17" t="str">
            <v>ICS</v>
          </cell>
          <cell r="B17" t="str">
            <v>FrameStream</v>
          </cell>
          <cell r="C17" t="str">
            <v>OIH</v>
          </cell>
          <cell r="D17" t="str">
            <v>Actual</v>
          </cell>
          <cell r="E17">
            <v>808</v>
          </cell>
          <cell r="F17">
            <v>934</v>
          </cell>
          <cell r="G17">
            <v>987</v>
          </cell>
          <cell r="H17">
            <v>1093</v>
          </cell>
          <cell r="I17">
            <v>1226</v>
          </cell>
          <cell r="J17">
            <v>1215</v>
          </cell>
          <cell r="K17">
            <v>1330</v>
          </cell>
          <cell r="L17">
            <v>1257</v>
          </cell>
          <cell r="M17">
            <v>978</v>
          </cell>
          <cell r="N17">
            <v>1087</v>
          </cell>
          <cell r="O17">
            <v>1349</v>
          </cell>
          <cell r="P17">
            <v>1715</v>
          </cell>
          <cell r="Q17">
            <v>3781</v>
          </cell>
          <cell r="R17">
            <v>4086</v>
          </cell>
          <cell r="S17">
            <v>2146</v>
          </cell>
          <cell r="T17">
            <v>2136</v>
          </cell>
        </row>
        <row r="18">
          <cell r="A18" t="str">
            <v>ICS</v>
          </cell>
          <cell r="B18" t="str">
            <v>FrameStream</v>
          </cell>
          <cell r="C18" t="str">
            <v>OIH</v>
          </cell>
          <cell r="D18" t="str">
            <v>Budget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1910</v>
          </cell>
          <cell r="T18">
            <v>1938</v>
          </cell>
        </row>
        <row r="19">
          <cell r="A19" t="str">
            <v>ICS</v>
          </cell>
          <cell r="B19" t="str">
            <v>FrameStream</v>
          </cell>
          <cell r="C19" t="str">
            <v>RSS</v>
          </cell>
          <cell r="D19" t="str">
            <v>Actual</v>
          </cell>
          <cell r="E19">
            <v>3152</v>
          </cell>
          <cell r="F19">
            <v>3455</v>
          </cell>
          <cell r="G19">
            <v>3956</v>
          </cell>
          <cell r="H19">
            <v>4356</v>
          </cell>
          <cell r="I19">
            <v>4636</v>
          </cell>
          <cell r="J19">
            <v>5212</v>
          </cell>
          <cell r="K19">
            <v>5677</v>
          </cell>
          <cell r="L19">
            <v>6179</v>
          </cell>
          <cell r="M19">
            <v>6749</v>
          </cell>
          <cell r="N19">
            <v>7128</v>
          </cell>
          <cell r="O19">
            <v>7459</v>
          </cell>
          <cell r="P19">
            <v>7890</v>
          </cell>
          <cell r="Q19">
            <v>8340</v>
          </cell>
          <cell r="R19">
            <v>8873</v>
          </cell>
          <cell r="S19">
            <v>9530</v>
          </cell>
          <cell r="T19">
            <v>10212</v>
          </cell>
        </row>
        <row r="20">
          <cell r="A20" t="str">
            <v>ICS</v>
          </cell>
          <cell r="B20" t="str">
            <v>FrameStream</v>
          </cell>
          <cell r="C20" t="str">
            <v>RSS</v>
          </cell>
          <cell r="D20" t="str">
            <v>Budget</v>
          </cell>
          <cell r="E20">
            <v>2986.2</v>
          </cell>
          <cell r="F20">
            <v>3416.4</v>
          </cell>
          <cell r="G20">
            <v>3873.6</v>
          </cell>
          <cell r="H20">
            <v>4342.5</v>
          </cell>
          <cell r="I20">
            <v>4855.5</v>
          </cell>
          <cell r="J20">
            <v>5409.9</v>
          </cell>
          <cell r="K20">
            <v>5967</v>
          </cell>
          <cell r="L20">
            <v>6239.7</v>
          </cell>
          <cell r="M20">
            <v>6387.75</v>
          </cell>
          <cell r="N20">
            <v>6644.25</v>
          </cell>
          <cell r="O20">
            <v>7160.85</v>
          </cell>
          <cell r="P20">
            <v>7771.95</v>
          </cell>
          <cell r="Q20">
            <v>8203.5</v>
          </cell>
          <cell r="R20">
            <v>8756.1</v>
          </cell>
          <cell r="S20">
            <v>9273.6</v>
          </cell>
          <cell r="T20">
            <v>8725.5</v>
          </cell>
        </row>
        <row r="21">
          <cell r="A21" t="str">
            <v>ICS</v>
          </cell>
          <cell r="B21" t="str">
            <v>FrameStream</v>
          </cell>
          <cell r="C21" t="str">
            <v>Supply</v>
          </cell>
          <cell r="D21" t="str">
            <v>Actual</v>
          </cell>
          <cell r="E21">
            <v>262</v>
          </cell>
          <cell r="F21">
            <v>309</v>
          </cell>
          <cell r="G21">
            <v>506</v>
          </cell>
          <cell r="H21">
            <v>409</v>
          </cell>
          <cell r="I21">
            <v>375</v>
          </cell>
          <cell r="J21">
            <v>588</v>
          </cell>
          <cell r="K21">
            <v>480</v>
          </cell>
          <cell r="L21">
            <v>531</v>
          </cell>
          <cell r="M21">
            <v>596</v>
          </cell>
          <cell r="N21">
            <v>405</v>
          </cell>
          <cell r="O21">
            <v>369</v>
          </cell>
          <cell r="P21">
            <v>465</v>
          </cell>
          <cell r="Q21">
            <v>673</v>
          </cell>
          <cell r="R21">
            <v>631</v>
          </cell>
          <cell r="S21">
            <v>745</v>
          </cell>
          <cell r="T21">
            <v>720</v>
          </cell>
        </row>
        <row r="22">
          <cell r="A22" t="str">
            <v>ICS</v>
          </cell>
          <cell r="B22" t="str">
            <v>FrameStream</v>
          </cell>
          <cell r="C22" t="str">
            <v>Supply</v>
          </cell>
          <cell r="D22" t="str">
            <v>Budget</v>
          </cell>
          <cell r="E22">
            <v>406</v>
          </cell>
          <cell r="F22">
            <v>488</v>
          </cell>
          <cell r="G22">
            <v>527</v>
          </cell>
          <cell r="H22">
            <v>547</v>
          </cell>
          <cell r="I22">
            <v>610</v>
          </cell>
          <cell r="J22">
            <v>665</v>
          </cell>
          <cell r="K22">
            <v>667</v>
          </cell>
          <cell r="L22">
            <v>330</v>
          </cell>
          <cell r="M22">
            <v>180</v>
          </cell>
          <cell r="N22">
            <v>311</v>
          </cell>
          <cell r="O22">
            <v>617</v>
          </cell>
          <cell r="P22">
            <v>729</v>
          </cell>
          <cell r="Q22">
            <v>545</v>
          </cell>
          <cell r="R22">
            <v>735</v>
          </cell>
          <cell r="S22">
            <v>671</v>
          </cell>
          <cell r="T22">
            <v>746</v>
          </cell>
        </row>
        <row r="23">
          <cell r="A23" t="str">
            <v>ICS</v>
          </cell>
          <cell r="B23" t="str">
            <v>FrameStream</v>
          </cell>
          <cell r="C23" t="str">
            <v>WSS</v>
          </cell>
          <cell r="D23" t="str">
            <v>Actual</v>
          </cell>
          <cell r="E23">
            <v>3174</v>
          </cell>
          <cell r="F23">
            <v>3481</v>
          </cell>
          <cell r="G23">
            <v>3980</v>
          </cell>
          <cell r="H23">
            <v>4387</v>
          </cell>
          <cell r="I23">
            <v>4663</v>
          </cell>
          <cell r="J23">
            <v>5249</v>
          </cell>
          <cell r="K23">
            <v>5722</v>
          </cell>
          <cell r="L23">
            <v>6241</v>
          </cell>
          <cell r="M23">
            <v>6818</v>
          </cell>
          <cell r="N23">
            <v>7203</v>
          </cell>
          <cell r="O23">
            <v>7549</v>
          </cell>
          <cell r="P23">
            <v>7982</v>
          </cell>
          <cell r="Q23">
            <v>135</v>
          </cell>
          <cell r="R23">
            <v>162</v>
          </cell>
          <cell r="S23">
            <v>155</v>
          </cell>
          <cell r="T23">
            <v>79</v>
          </cell>
        </row>
        <row r="24">
          <cell r="A24" t="str">
            <v>ICS</v>
          </cell>
          <cell r="B24" t="str">
            <v>FrameStream</v>
          </cell>
          <cell r="C24" t="str">
            <v>WSS</v>
          </cell>
          <cell r="D24" t="str">
            <v>Budget</v>
          </cell>
          <cell r="E24">
            <v>3318</v>
          </cell>
          <cell r="F24">
            <v>3796</v>
          </cell>
          <cell r="G24">
            <v>4304</v>
          </cell>
          <cell r="H24">
            <v>4825</v>
          </cell>
          <cell r="I24">
            <v>5395</v>
          </cell>
          <cell r="J24">
            <v>6011</v>
          </cell>
          <cell r="K24">
            <v>6630</v>
          </cell>
          <cell r="L24">
            <v>6933</v>
          </cell>
          <cell r="M24">
            <v>7097.5</v>
          </cell>
          <cell r="N24">
            <v>7382.5</v>
          </cell>
          <cell r="O24">
            <v>7956.5</v>
          </cell>
          <cell r="P24">
            <v>8635.5</v>
          </cell>
          <cell r="Q24">
            <v>123</v>
          </cell>
          <cell r="R24">
            <v>130</v>
          </cell>
          <cell r="S24">
            <v>158</v>
          </cell>
          <cell r="T24">
            <v>164</v>
          </cell>
        </row>
        <row r="25">
          <cell r="A25" t="str">
            <v>ICS</v>
          </cell>
          <cell r="B25" t="str">
            <v>SHDS</v>
          </cell>
          <cell r="C25" t="str">
            <v>Cessations</v>
          </cell>
          <cell r="D25" t="str">
            <v>Actual</v>
          </cell>
          <cell r="E25">
            <v>13</v>
          </cell>
          <cell r="F25">
            <v>20</v>
          </cell>
          <cell r="G25">
            <v>8</v>
          </cell>
          <cell r="H25">
            <v>8</v>
          </cell>
          <cell r="I25">
            <v>17</v>
          </cell>
          <cell r="J25">
            <v>31</v>
          </cell>
          <cell r="K25">
            <v>7</v>
          </cell>
          <cell r="L25">
            <v>12</v>
          </cell>
          <cell r="M25">
            <v>8</v>
          </cell>
          <cell r="N25">
            <v>16</v>
          </cell>
          <cell r="O25">
            <v>22</v>
          </cell>
          <cell r="P25">
            <v>16</v>
          </cell>
          <cell r="Q25">
            <v>13</v>
          </cell>
          <cell r="R25">
            <v>19</v>
          </cell>
          <cell r="S25">
            <v>12</v>
          </cell>
          <cell r="T25">
            <v>21</v>
          </cell>
        </row>
        <row r="26">
          <cell r="A26" t="str">
            <v>ICS</v>
          </cell>
          <cell r="B26" t="str">
            <v>SHDS</v>
          </cell>
          <cell r="C26" t="str">
            <v>Cessations</v>
          </cell>
          <cell r="D26" t="str">
            <v>Budget</v>
          </cell>
          <cell r="E26">
            <v>4</v>
          </cell>
          <cell r="F26">
            <v>4</v>
          </cell>
          <cell r="G26">
            <v>9</v>
          </cell>
          <cell r="H26">
            <v>0</v>
          </cell>
          <cell r="I26">
            <v>5</v>
          </cell>
          <cell r="J26">
            <v>4</v>
          </cell>
          <cell r="K26">
            <v>5</v>
          </cell>
          <cell r="L26">
            <v>5</v>
          </cell>
          <cell r="M26">
            <v>5</v>
          </cell>
          <cell r="N26">
            <v>4</v>
          </cell>
          <cell r="O26">
            <v>6</v>
          </cell>
          <cell r="P26">
            <v>6</v>
          </cell>
          <cell r="Q26">
            <v>4</v>
          </cell>
          <cell r="R26">
            <v>5</v>
          </cell>
          <cell r="S26">
            <v>8</v>
          </cell>
          <cell r="T26">
            <v>0</v>
          </cell>
        </row>
        <row r="27">
          <cell r="A27" t="str">
            <v>ICS</v>
          </cell>
          <cell r="B27" t="str">
            <v>SHDS</v>
          </cell>
          <cell r="C27" t="str">
            <v>Demand</v>
          </cell>
          <cell r="D27" t="str">
            <v>Actual</v>
          </cell>
          <cell r="E27">
            <v>45</v>
          </cell>
          <cell r="F27">
            <v>47</v>
          </cell>
          <cell r="G27">
            <v>44</v>
          </cell>
          <cell r="H27">
            <v>59</v>
          </cell>
          <cell r="I27">
            <v>59</v>
          </cell>
          <cell r="J27">
            <v>63</v>
          </cell>
          <cell r="K27">
            <v>64</v>
          </cell>
          <cell r="L27">
            <v>60</v>
          </cell>
          <cell r="M27">
            <v>78</v>
          </cell>
          <cell r="N27">
            <v>46</v>
          </cell>
          <cell r="O27">
            <v>78</v>
          </cell>
          <cell r="P27">
            <v>91</v>
          </cell>
          <cell r="Q27">
            <v>48</v>
          </cell>
          <cell r="R27">
            <v>72</v>
          </cell>
          <cell r="S27">
            <v>54</v>
          </cell>
          <cell r="T27">
            <v>54</v>
          </cell>
        </row>
        <row r="28">
          <cell r="A28" t="str">
            <v>ICS</v>
          </cell>
          <cell r="B28" t="str">
            <v>SHDS</v>
          </cell>
          <cell r="C28" t="str">
            <v>Demand</v>
          </cell>
          <cell r="D28" t="str">
            <v>Budget</v>
          </cell>
          <cell r="E28">
            <v>24</v>
          </cell>
          <cell r="F28">
            <v>28</v>
          </cell>
          <cell r="G28">
            <v>21</v>
          </cell>
          <cell r="H28">
            <v>19</v>
          </cell>
          <cell r="I28">
            <v>17</v>
          </cell>
          <cell r="J28">
            <v>19</v>
          </cell>
          <cell r="K28">
            <v>16</v>
          </cell>
          <cell r="L28">
            <v>14</v>
          </cell>
          <cell r="M28">
            <v>9</v>
          </cell>
          <cell r="N28">
            <v>9</v>
          </cell>
          <cell r="O28">
            <v>11</v>
          </cell>
          <cell r="P28">
            <v>11</v>
          </cell>
          <cell r="Q28">
            <v>24</v>
          </cell>
          <cell r="R28">
            <v>31</v>
          </cell>
          <cell r="S28">
            <v>18</v>
          </cell>
          <cell r="T28">
            <v>19</v>
          </cell>
        </row>
        <row r="29">
          <cell r="A29" t="str">
            <v>ICS</v>
          </cell>
          <cell r="B29" t="str">
            <v>SHDS</v>
          </cell>
          <cell r="C29" t="str">
            <v>OIH</v>
          </cell>
          <cell r="D29" t="str">
            <v>Actual</v>
          </cell>
          <cell r="E29">
            <v>143</v>
          </cell>
          <cell r="F29">
            <v>162</v>
          </cell>
          <cell r="G29">
            <v>162</v>
          </cell>
          <cell r="H29">
            <v>162</v>
          </cell>
          <cell r="I29">
            <v>162</v>
          </cell>
          <cell r="J29">
            <v>156</v>
          </cell>
          <cell r="K29">
            <v>135</v>
          </cell>
          <cell r="L29">
            <v>128</v>
          </cell>
          <cell r="M29">
            <v>162</v>
          </cell>
          <cell r="N29">
            <v>204</v>
          </cell>
          <cell r="O29">
            <v>277</v>
          </cell>
          <cell r="P29">
            <v>319</v>
          </cell>
          <cell r="Q29">
            <v>0</v>
          </cell>
          <cell r="R29">
            <v>0</v>
          </cell>
          <cell r="S29">
            <v>429</v>
          </cell>
          <cell r="T29">
            <v>501</v>
          </cell>
        </row>
        <row r="30">
          <cell r="A30" t="str">
            <v>ICS</v>
          </cell>
          <cell r="B30" t="str">
            <v>SHDS</v>
          </cell>
          <cell r="C30" t="str">
            <v>RSS</v>
          </cell>
          <cell r="D30" t="str">
            <v>Actual</v>
          </cell>
          <cell r="E30">
            <v>903</v>
          </cell>
          <cell r="F30">
            <v>921</v>
          </cell>
          <cell r="G30">
            <v>936</v>
          </cell>
          <cell r="H30">
            <v>936</v>
          </cell>
          <cell r="I30">
            <v>936</v>
          </cell>
          <cell r="J30">
            <v>1015</v>
          </cell>
          <cell r="K30">
            <v>1023</v>
          </cell>
          <cell r="L30">
            <v>1103</v>
          </cell>
          <cell r="M30">
            <v>1128</v>
          </cell>
          <cell r="N30">
            <v>1145</v>
          </cell>
          <cell r="O30">
            <v>1161</v>
          </cell>
          <cell r="P30">
            <v>1234</v>
          </cell>
          <cell r="Q30">
            <v>1194</v>
          </cell>
          <cell r="R30">
            <v>1283</v>
          </cell>
          <cell r="S30">
            <v>1318</v>
          </cell>
          <cell r="T30">
            <v>1332</v>
          </cell>
        </row>
        <row r="31">
          <cell r="A31" t="str">
            <v>ICS</v>
          </cell>
          <cell r="B31" t="str">
            <v>SHDS</v>
          </cell>
          <cell r="C31" t="str">
            <v>RSS</v>
          </cell>
          <cell r="D31" t="str">
            <v>Budget</v>
          </cell>
          <cell r="E31">
            <v>863.28</v>
          </cell>
          <cell r="F31">
            <v>888.48</v>
          </cell>
          <cell r="G31">
            <v>907.38</v>
          </cell>
          <cell r="H31">
            <v>924.48</v>
          </cell>
          <cell r="I31">
            <v>939.78</v>
          </cell>
          <cell r="J31">
            <v>956.88</v>
          </cell>
          <cell r="K31">
            <v>971.28</v>
          </cell>
          <cell r="L31">
            <v>983.88</v>
          </cell>
          <cell r="M31">
            <v>991.98</v>
          </cell>
          <cell r="N31">
            <v>1000.08</v>
          </cell>
          <cell r="O31">
            <v>1009.98</v>
          </cell>
          <cell r="P31">
            <v>1019.88</v>
          </cell>
          <cell r="Q31">
            <v>863.27826923076896</v>
          </cell>
          <cell r="R31">
            <v>891.17826923076905</v>
          </cell>
          <cell r="S31">
            <v>907.38</v>
          </cell>
          <cell r="T31">
            <v>924.48</v>
          </cell>
        </row>
        <row r="32">
          <cell r="A32" t="str">
            <v>ICS</v>
          </cell>
          <cell r="B32" t="str">
            <v>SHDS</v>
          </cell>
          <cell r="C32" t="str">
            <v>Supply</v>
          </cell>
          <cell r="D32" t="str">
            <v>Actual</v>
          </cell>
          <cell r="E32">
            <v>24</v>
          </cell>
          <cell r="F32">
            <v>28</v>
          </cell>
          <cell r="G32">
            <v>55</v>
          </cell>
          <cell r="H32">
            <v>38</v>
          </cell>
          <cell r="I32">
            <v>26</v>
          </cell>
          <cell r="J32">
            <v>54</v>
          </cell>
          <cell r="K32">
            <v>48</v>
          </cell>
          <cell r="L32">
            <v>37</v>
          </cell>
          <cell r="M32">
            <v>40</v>
          </cell>
          <cell r="N32">
            <v>26</v>
          </cell>
          <cell r="O32">
            <v>25</v>
          </cell>
          <cell r="P32">
            <v>46</v>
          </cell>
          <cell r="Q32">
            <v>43</v>
          </cell>
          <cell r="R32">
            <v>44</v>
          </cell>
          <cell r="S32">
            <v>21</v>
          </cell>
          <cell r="T32">
            <v>13</v>
          </cell>
        </row>
        <row r="33">
          <cell r="A33" t="str">
            <v>ICS</v>
          </cell>
          <cell r="B33" t="str">
            <v>SHDS</v>
          </cell>
          <cell r="C33" t="str">
            <v>Supply</v>
          </cell>
          <cell r="D33" t="str">
            <v>Budget</v>
          </cell>
          <cell r="E33">
            <v>24</v>
          </cell>
          <cell r="F33">
            <v>28</v>
          </cell>
          <cell r="G33">
            <v>21</v>
          </cell>
          <cell r="H33">
            <v>19</v>
          </cell>
          <cell r="I33">
            <v>17</v>
          </cell>
          <cell r="J33">
            <v>19</v>
          </cell>
          <cell r="K33">
            <v>16</v>
          </cell>
          <cell r="L33">
            <v>14</v>
          </cell>
          <cell r="M33">
            <v>9</v>
          </cell>
          <cell r="N33">
            <v>9</v>
          </cell>
          <cell r="O33">
            <v>11</v>
          </cell>
          <cell r="P33">
            <v>11</v>
          </cell>
          <cell r="Q33">
            <v>24</v>
          </cell>
          <cell r="R33">
            <v>31</v>
          </cell>
          <cell r="S33">
            <v>18</v>
          </cell>
          <cell r="T33">
            <v>19</v>
          </cell>
        </row>
        <row r="34">
          <cell r="A34" t="str">
            <v>ICS</v>
          </cell>
          <cell r="B34" t="str">
            <v>SHDS</v>
          </cell>
          <cell r="C34" t="str">
            <v>WSS</v>
          </cell>
          <cell r="D34" t="str">
            <v>Actual</v>
          </cell>
          <cell r="E34">
            <v>952</v>
          </cell>
          <cell r="F34">
            <v>975</v>
          </cell>
          <cell r="G34">
            <v>990</v>
          </cell>
          <cell r="H34">
            <v>990</v>
          </cell>
          <cell r="I34">
            <v>990</v>
          </cell>
          <cell r="J34">
            <v>1102</v>
          </cell>
          <cell r="K34">
            <v>1113</v>
          </cell>
          <cell r="L34">
            <v>1199</v>
          </cell>
          <cell r="M34">
            <v>1229</v>
          </cell>
          <cell r="N34">
            <v>1248</v>
          </cell>
          <cell r="O34">
            <v>1261</v>
          </cell>
          <cell r="P34">
            <v>1315</v>
          </cell>
          <cell r="Q34">
            <v>1273</v>
          </cell>
          <cell r="R34">
            <v>1364</v>
          </cell>
          <cell r="S34">
            <v>1390</v>
          </cell>
          <cell r="T34">
            <v>1405</v>
          </cell>
        </row>
        <row r="35">
          <cell r="A35" t="str">
            <v>ICS</v>
          </cell>
          <cell r="B35" t="str">
            <v>SHDS</v>
          </cell>
          <cell r="C35" t="str">
            <v>WSS</v>
          </cell>
          <cell r="D35" t="str">
            <v>Budget</v>
          </cell>
          <cell r="E35">
            <v>959.198076923077</v>
          </cell>
          <cell r="F35">
            <v>987.198076923077</v>
          </cell>
          <cell r="G35">
            <v>1008.19807692308</v>
          </cell>
          <cell r="H35">
            <v>1027.19807692308</v>
          </cell>
          <cell r="I35">
            <v>1044.19807692308</v>
          </cell>
          <cell r="J35">
            <v>1063.19807692308</v>
          </cell>
          <cell r="K35">
            <v>1079.19807692308</v>
          </cell>
          <cell r="L35">
            <v>1093.19807692308</v>
          </cell>
          <cell r="M35">
            <v>1102.19807692308</v>
          </cell>
          <cell r="N35">
            <v>1111.19807692308</v>
          </cell>
          <cell r="O35">
            <v>1122.19807692308</v>
          </cell>
          <cell r="P35">
            <v>1133.19807692308</v>
          </cell>
          <cell r="Q35">
            <v>959.198076923077</v>
          </cell>
          <cell r="R35">
            <v>990.198076923077</v>
          </cell>
          <cell r="S35">
            <v>1008.2</v>
          </cell>
          <cell r="T35">
            <v>1027.2</v>
          </cell>
        </row>
        <row r="36">
          <cell r="A36" t="str">
            <v>ICS</v>
          </cell>
          <cell r="B36" t="str">
            <v>SMDS</v>
          </cell>
          <cell r="C36" t="str">
            <v>Cessations</v>
          </cell>
          <cell r="D36" t="str">
            <v>Actual</v>
          </cell>
          <cell r="E36">
            <v>38</v>
          </cell>
          <cell r="F36">
            <v>47</v>
          </cell>
          <cell r="G36">
            <v>44</v>
          </cell>
          <cell r="H36">
            <v>28</v>
          </cell>
          <cell r="I36">
            <v>21</v>
          </cell>
          <cell r="J36">
            <v>72</v>
          </cell>
          <cell r="K36">
            <v>65</v>
          </cell>
          <cell r="L36">
            <v>36</v>
          </cell>
          <cell r="M36">
            <v>47</v>
          </cell>
          <cell r="N36">
            <v>65</v>
          </cell>
          <cell r="O36">
            <v>61</v>
          </cell>
          <cell r="P36">
            <v>6</v>
          </cell>
          <cell r="Q36">
            <v>29</v>
          </cell>
          <cell r="R36">
            <v>89</v>
          </cell>
          <cell r="S36">
            <v>13</v>
          </cell>
          <cell r="T36">
            <v>34</v>
          </cell>
        </row>
        <row r="37">
          <cell r="A37" t="str">
            <v>ICS</v>
          </cell>
          <cell r="B37" t="str">
            <v>SMDS</v>
          </cell>
          <cell r="C37" t="str">
            <v>Cessations</v>
          </cell>
          <cell r="D37" t="str">
            <v>Budget</v>
          </cell>
          <cell r="E37">
            <v>55</v>
          </cell>
          <cell r="F37">
            <v>54</v>
          </cell>
          <cell r="G37">
            <v>54</v>
          </cell>
          <cell r="H37">
            <v>54</v>
          </cell>
          <cell r="I37">
            <v>54</v>
          </cell>
          <cell r="J37">
            <v>54</v>
          </cell>
          <cell r="K37">
            <v>54</v>
          </cell>
          <cell r="L37">
            <v>53</v>
          </cell>
          <cell r="M37">
            <v>49</v>
          </cell>
          <cell r="N37">
            <v>49</v>
          </cell>
          <cell r="O37">
            <v>46</v>
          </cell>
          <cell r="P37">
            <v>45</v>
          </cell>
          <cell r="Q37">
            <v>43</v>
          </cell>
          <cell r="R37">
            <v>46</v>
          </cell>
          <cell r="S37">
            <v>60</v>
          </cell>
          <cell r="T37">
            <v>55</v>
          </cell>
        </row>
        <row r="38">
          <cell r="A38" t="str">
            <v>ICS</v>
          </cell>
          <cell r="B38" t="str">
            <v>SMDS</v>
          </cell>
          <cell r="C38" t="str">
            <v>Demand</v>
          </cell>
          <cell r="D38" t="str">
            <v>Actual</v>
          </cell>
          <cell r="E38">
            <v>112</v>
          </cell>
          <cell r="F38">
            <v>70</v>
          </cell>
          <cell r="G38">
            <v>111</v>
          </cell>
          <cell r="H38">
            <v>91</v>
          </cell>
          <cell r="I38">
            <v>83</v>
          </cell>
          <cell r="J38">
            <v>100</v>
          </cell>
          <cell r="K38">
            <v>137</v>
          </cell>
          <cell r="L38">
            <v>101</v>
          </cell>
          <cell r="M38">
            <v>71</v>
          </cell>
          <cell r="N38">
            <v>86</v>
          </cell>
          <cell r="O38">
            <v>92</v>
          </cell>
          <cell r="P38">
            <v>130</v>
          </cell>
          <cell r="Q38">
            <v>87</v>
          </cell>
          <cell r="R38">
            <v>43</v>
          </cell>
          <cell r="S38">
            <v>91</v>
          </cell>
          <cell r="T38">
            <v>57</v>
          </cell>
        </row>
        <row r="39">
          <cell r="A39" t="str">
            <v>ICS</v>
          </cell>
          <cell r="B39" t="str">
            <v>SMDS</v>
          </cell>
          <cell r="C39" t="str">
            <v>Demand</v>
          </cell>
          <cell r="D39" t="str">
            <v>Budget</v>
          </cell>
          <cell r="E39">
            <v>113</v>
          </cell>
          <cell r="F39">
            <v>116</v>
          </cell>
          <cell r="G39">
            <v>117</v>
          </cell>
          <cell r="H39">
            <v>118</v>
          </cell>
          <cell r="I39">
            <v>122</v>
          </cell>
          <cell r="J39">
            <v>140</v>
          </cell>
          <cell r="K39">
            <v>140</v>
          </cell>
          <cell r="L39">
            <v>122</v>
          </cell>
          <cell r="M39">
            <v>87</v>
          </cell>
          <cell r="N39">
            <v>88</v>
          </cell>
          <cell r="O39">
            <v>127</v>
          </cell>
          <cell r="P39">
            <v>150</v>
          </cell>
          <cell r="Q39">
            <v>93</v>
          </cell>
          <cell r="R39">
            <v>86</v>
          </cell>
          <cell r="S39">
            <v>88</v>
          </cell>
          <cell r="T39">
            <v>109</v>
          </cell>
        </row>
        <row r="40">
          <cell r="A40" t="str">
            <v>ICS</v>
          </cell>
          <cell r="B40" t="str">
            <v>SMDS</v>
          </cell>
          <cell r="C40" t="str">
            <v>OIH</v>
          </cell>
          <cell r="D40" t="str">
            <v>Actual</v>
          </cell>
          <cell r="E40">
            <v>298</v>
          </cell>
          <cell r="F40">
            <v>273</v>
          </cell>
          <cell r="G40">
            <v>266</v>
          </cell>
          <cell r="H40">
            <v>307</v>
          </cell>
          <cell r="I40">
            <v>270</v>
          </cell>
          <cell r="J40">
            <v>275</v>
          </cell>
          <cell r="K40">
            <v>308</v>
          </cell>
          <cell r="L40">
            <v>287</v>
          </cell>
          <cell r="M40">
            <v>256</v>
          </cell>
          <cell r="N40">
            <v>261</v>
          </cell>
          <cell r="O40">
            <v>275</v>
          </cell>
          <cell r="P40">
            <v>279</v>
          </cell>
          <cell r="Q40">
            <v>269</v>
          </cell>
          <cell r="R40">
            <v>182</v>
          </cell>
          <cell r="S40">
            <v>240</v>
          </cell>
          <cell r="T40">
            <v>215</v>
          </cell>
        </row>
        <row r="41">
          <cell r="A41" t="str">
            <v>ICS</v>
          </cell>
          <cell r="B41" t="str">
            <v>SMDS</v>
          </cell>
          <cell r="C41" t="str">
            <v>RSS</v>
          </cell>
          <cell r="D41" t="str">
            <v>Actual</v>
          </cell>
          <cell r="E41">
            <v>3834</v>
          </cell>
          <cell r="F41">
            <v>3891</v>
          </cell>
          <cell r="G41">
            <v>3965</v>
          </cell>
          <cell r="H41">
            <v>4017</v>
          </cell>
          <cell r="I41">
            <v>4115</v>
          </cell>
          <cell r="J41">
            <v>4119</v>
          </cell>
          <cell r="K41">
            <v>4158</v>
          </cell>
          <cell r="L41">
            <v>4268</v>
          </cell>
          <cell r="M41">
            <v>4309</v>
          </cell>
          <cell r="N41">
            <v>4323</v>
          </cell>
          <cell r="O41">
            <v>4318</v>
          </cell>
          <cell r="P41">
            <v>4425</v>
          </cell>
          <cell r="Q41">
            <v>4556</v>
          </cell>
          <cell r="R41">
            <v>4593</v>
          </cell>
          <cell r="S41">
            <v>4611</v>
          </cell>
          <cell r="T41">
            <v>4596</v>
          </cell>
        </row>
        <row r="42">
          <cell r="A42" t="str">
            <v>ICS</v>
          </cell>
          <cell r="B42" t="str">
            <v>SMDS</v>
          </cell>
          <cell r="C42" t="str">
            <v>RSS</v>
          </cell>
          <cell r="D42" t="str">
            <v>Budget</v>
          </cell>
          <cell r="E42">
            <v>3568.5</v>
          </cell>
          <cell r="F42">
            <v>3624.3</v>
          </cell>
          <cell r="G42">
            <v>3681</v>
          </cell>
          <cell r="H42">
            <v>3738.6</v>
          </cell>
          <cell r="I42">
            <v>3799.8</v>
          </cell>
          <cell r="J42">
            <v>3877.2</v>
          </cell>
          <cell r="K42">
            <v>3954.6</v>
          </cell>
          <cell r="L42">
            <v>4016.7</v>
          </cell>
          <cell r="M42">
            <v>4050.9</v>
          </cell>
          <cell r="N42">
            <v>4086</v>
          </cell>
          <cell r="O42">
            <v>4158.8999999999996</v>
          </cell>
          <cell r="P42">
            <v>4253.3999999999996</v>
          </cell>
          <cell r="Q42">
            <v>4302</v>
          </cell>
          <cell r="R42">
            <v>4346.1000000000004</v>
          </cell>
          <cell r="S42">
            <v>4407.53</v>
          </cell>
          <cell r="T42">
            <v>4436.33</v>
          </cell>
        </row>
        <row r="43">
          <cell r="A43" t="str">
            <v>ICS</v>
          </cell>
          <cell r="B43" t="str">
            <v>SMDS</v>
          </cell>
          <cell r="C43" t="str">
            <v>Supply</v>
          </cell>
          <cell r="D43" t="str">
            <v>Actual</v>
          </cell>
          <cell r="E43">
            <v>85</v>
          </cell>
          <cell r="F43">
            <v>92</v>
          </cell>
          <cell r="G43">
            <v>117</v>
          </cell>
          <cell r="H43">
            <v>78</v>
          </cell>
          <cell r="I43">
            <v>118</v>
          </cell>
          <cell r="J43">
            <v>81</v>
          </cell>
          <cell r="K43">
            <v>104</v>
          </cell>
          <cell r="L43">
            <v>111</v>
          </cell>
          <cell r="M43">
            <v>100</v>
          </cell>
          <cell r="N43">
            <v>79</v>
          </cell>
          <cell r="O43">
            <v>62</v>
          </cell>
          <cell r="P43">
            <v>117</v>
          </cell>
          <cell r="Q43">
            <v>94</v>
          </cell>
          <cell r="R43">
            <v>128</v>
          </cell>
          <cell r="S43">
            <v>31</v>
          </cell>
          <cell r="T43">
            <v>49</v>
          </cell>
        </row>
        <row r="44">
          <cell r="A44" t="str">
            <v>ICS</v>
          </cell>
          <cell r="B44" t="str">
            <v>SMDS</v>
          </cell>
          <cell r="C44" t="str">
            <v>Supply</v>
          </cell>
          <cell r="D44" t="str">
            <v>Budget</v>
          </cell>
          <cell r="E44">
            <v>113</v>
          </cell>
          <cell r="F44">
            <v>116</v>
          </cell>
          <cell r="G44">
            <v>117</v>
          </cell>
          <cell r="H44">
            <v>118</v>
          </cell>
          <cell r="I44">
            <v>122</v>
          </cell>
          <cell r="J44">
            <v>140</v>
          </cell>
          <cell r="K44">
            <v>140</v>
          </cell>
          <cell r="L44">
            <v>122</v>
          </cell>
          <cell r="M44">
            <v>87</v>
          </cell>
          <cell r="N44">
            <v>88</v>
          </cell>
          <cell r="O44">
            <v>127</v>
          </cell>
          <cell r="P44">
            <v>150</v>
          </cell>
          <cell r="Q44">
            <v>96</v>
          </cell>
          <cell r="R44">
            <v>95</v>
          </cell>
          <cell r="S44">
            <v>122</v>
          </cell>
          <cell r="T44">
            <v>85</v>
          </cell>
        </row>
        <row r="45">
          <cell r="A45" t="str">
            <v>ICS</v>
          </cell>
          <cell r="B45" t="str">
            <v>SMDS</v>
          </cell>
          <cell r="C45" t="str">
            <v>WSS</v>
          </cell>
          <cell r="D45" t="str">
            <v>Actual</v>
          </cell>
          <cell r="E45">
            <v>3991</v>
          </cell>
          <cell r="F45">
            <v>4022</v>
          </cell>
          <cell r="G45">
            <v>4073</v>
          </cell>
          <cell r="H45">
            <v>4138</v>
          </cell>
          <cell r="I45">
            <v>4254</v>
          </cell>
          <cell r="J45">
            <v>4304</v>
          </cell>
          <cell r="K45">
            <v>4403</v>
          </cell>
          <cell r="L45">
            <v>4513</v>
          </cell>
          <cell r="M45">
            <v>4578</v>
          </cell>
          <cell r="N45">
            <v>4630</v>
          </cell>
          <cell r="O45">
            <v>4685</v>
          </cell>
          <cell r="P45">
            <v>4633</v>
          </cell>
          <cell r="Q45">
            <v>38</v>
          </cell>
          <cell r="R45">
            <v>17</v>
          </cell>
          <cell r="S45">
            <v>-7</v>
          </cell>
          <cell r="T45">
            <v>0</v>
          </cell>
        </row>
        <row r="46">
          <cell r="A46" t="str">
            <v>ICS</v>
          </cell>
          <cell r="B46" t="str">
            <v>SMDS</v>
          </cell>
          <cell r="C46" t="str">
            <v>WSS</v>
          </cell>
          <cell r="D46" t="str">
            <v>Budget</v>
          </cell>
          <cell r="E46">
            <v>3965</v>
          </cell>
          <cell r="F46">
            <v>4027</v>
          </cell>
          <cell r="G46">
            <v>4090</v>
          </cell>
          <cell r="H46">
            <v>4154</v>
          </cell>
          <cell r="I46">
            <v>4222</v>
          </cell>
          <cell r="J46">
            <v>4308</v>
          </cell>
          <cell r="K46">
            <v>4394</v>
          </cell>
          <cell r="L46">
            <v>4463</v>
          </cell>
          <cell r="M46">
            <v>4501</v>
          </cell>
          <cell r="N46">
            <v>4540</v>
          </cell>
          <cell r="O46">
            <v>4621</v>
          </cell>
          <cell r="P46">
            <v>4726</v>
          </cell>
          <cell r="Q46">
            <v>13.25</v>
          </cell>
          <cell r="R46">
            <v>10.4</v>
          </cell>
          <cell r="S46">
            <v>16.25</v>
          </cell>
          <cell r="T46">
            <v>7.75</v>
          </cell>
        </row>
        <row r="47">
          <cell r="A47" t="str">
            <v>IP</v>
          </cell>
          <cell r="B47" t="str">
            <v>Btnet Direct</v>
          </cell>
          <cell r="C47" t="str">
            <v>Cessations</v>
          </cell>
          <cell r="D47" t="str">
            <v>Actual</v>
          </cell>
          <cell r="E47">
            <v>7</v>
          </cell>
          <cell r="F47">
            <v>3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A48" t="str">
            <v>IP</v>
          </cell>
          <cell r="B48" t="str">
            <v>Btnet Direct</v>
          </cell>
          <cell r="C48" t="str">
            <v>Demand</v>
          </cell>
          <cell r="D48" t="str">
            <v>Actual</v>
          </cell>
          <cell r="E48">
            <v>163</v>
          </cell>
          <cell r="F48">
            <v>174</v>
          </cell>
          <cell r="G48">
            <v>143</v>
          </cell>
          <cell r="H48">
            <v>168</v>
          </cell>
          <cell r="I48">
            <v>270</v>
          </cell>
          <cell r="J48">
            <v>302</v>
          </cell>
          <cell r="K48">
            <v>154</v>
          </cell>
          <cell r="L48">
            <v>167</v>
          </cell>
          <cell r="M48">
            <v>156</v>
          </cell>
          <cell r="N48">
            <v>116</v>
          </cell>
          <cell r="O48">
            <v>168</v>
          </cell>
          <cell r="P48">
            <v>174</v>
          </cell>
          <cell r="Q48">
            <v>174</v>
          </cell>
          <cell r="R48">
            <v>186</v>
          </cell>
          <cell r="S48">
            <v>206</v>
          </cell>
          <cell r="T48">
            <v>124</v>
          </cell>
        </row>
        <row r="49">
          <cell r="A49" t="str">
            <v>IP</v>
          </cell>
          <cell r="B49" t="str">
            <v>Btnet Direct</v>
          </cell>
          <cell r="C49" t="str">
            <v>OIH</v>
          </cell>
          <cell r="D49" t="str">
            <v>Actual</v>
          </cell>
          <cell r="E49">
            <v>63</v>
          </cell>
          <cell r="F49">
            <v>110</v>
          </cell>
          <cell r="G49">
            <v>182</v>
          </cell>
          <cell r="H49">
            <v>189</v>
          </cell>
          <cell r="I49">
            <v>262</v>
          </cell>
          <cell r="J49">
            <v>371</v>
          </cell>
          <cell r="K49">
            <v>244</v>
          </cell>
          <cell r="L49">
            <v>249</v>
          </cell>
          <cell r="M49">
            <v>237</v>
          </cell>
          <cell r="N49">
            <v>174</v>
          </cell>
          <cell r="O49">
            <v>213</v>
          </cell>
          <cell r="P49">
            <v>190</v>
          </cell>
          <cell r="Q49">
            <v>214</v>
          </cell>
          <cell r="R49">
            <v>296</v>
          </cell>
          <cell r="S49">
            <v>323</v>
          </cell>
          <cell r="T49">
            <v>304</v>
          </cell>
        </row>
        <row r="50">
          <cell r="A50" t="str">
            <v>IP</v>
          </cell>
          <cell r="B50" t="str">
            <v>Btnet Direct</v>
          </cell>
          <cell r="C50" t="str">
            <v>RSS</v>
          </cell>
          <cell r="D50" t="str">
            <v>Actual</v>
          </cell>
          <cell r="E50">
            <v>845</v>
          </cell>
          <cell r="F50">
            <v>968</v>
          </cell>
          <cell r="G50">
            <v>1038</v>
          </cell>
          <cell r="H50">
            <v>1193</v>
          </cell>
          <cell r="I50">
            <v>1390</v>
          </cell>
          <cell r="J50">
            <v>1578</v>
          </cell>
          <cell r="K50">
            <v>1830</v>
          </cell>
          <cell r="L50">
            <v>1988</v>
          </cell>
          <cell r="M50">
            <v>2154</v>
          </cell>
          <cell r="N50">
            <v>2316</v>
          </cell>
          <cell r="O50">
            <v>2444</v>
          </cell>
          <cell r="P50">
            <v>2618</v>
          </cell>
          <cell r="Q50">
            <v>1654</v>
          </cell>
          <cell r="R50">
            <v>1754</v>
          </cell>
          <cell r="S50">
            <v>1923</v>
          </cell>
          <cell r="T50">
            <v>2068</v>
          </cell>
        </row>
        <row r="51">
          <cell r="A51" t="str">
            <v>IP</v>
          </cell>
          <cell r="B51" t="str">
            <v>Btnet Direct</v>
          </cell>
          <cell r="C51" t="str">
            <v>RSS</v>
          </cell>
          <cell r="D51" t="str">
            <v>Budget</v>
          </cell>
          <cell r="E51">
            <v>1059.56</v>
          </cell>
          <cell r="F51">
            <v>1099.52</v>
          </cell>
          <cell r="G51">
            <v>1247</v>
          </cell>
          <cell r="H51">
            <v>1382.17</v>
          </cell>
          <cell r="I51">
            <v>1539.57</v>
          </cell>
          <cell r="J51">
            <v>1660.47</v>
          </cell>
          <cell r="K51">
            <v>1816.15</v>
          </cell>
          <cell r="L51">
            <v>1958.63</v>
          </cell>
          <cell r="M51">
            <v>2075.0100000000002</v>
          </cell>
          <cell r="N51">
            <v>2207.0500000000002</v>
          </cell>
          <cell r="O51">
            <v>2366.9499999999998</v>
          </cell>
          <cell r="P51">
            <v>2533.0300000000002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 t="str">
            <v>IP</v>
          </cell>
          <cell r="B52" t="str">
            <v>Btnet Direct</v>
          </cell>
          <cell r="C52" t="str">
            <v>Supply</v>
          </cell>
          <cell r="D52" t="str">
            <v>Actual</v>
          </cell>
          <cell r="E52">
            <v>153</v>
          </cell>
          <cell r="F52">
            <v>126</v>
          </cell>
          <cell r="G52">
            <v>70</v>
          </cell>
          <cell r="H52">
            <v>155</v>
          </cell>
          <cell r="I52">
            <v>197</v>
          </cell>
          <cell r="J52">
            <v>188</v>
          </cell>
          <cell r="K52">
            <v>252</v>
          </cell>
          <cell r="L52">
            <v>158</v>
          </cell>
          <cell r="M52">
            <v>166</v>
          </cell>
          <cell r="N52">
            <v>162</v>
          </cell>
          <cell r="O52">
            <v>128</v>
          </cell>
          <cell r="P52">
            <v>174</v>
          </cell>
          <cell r="Q52">
            <v>151</v>
          </cell>
          <cell r="R52">
            <v>100</v>
          </cell>
          <cell r="S52">
            <v>169</v>
          </cell>
          <cell r="T52">
            <v>145</v>
          </cell>
        </row>
        <row r="53">
          <cell r="A53" t="str">
            <v>IP</v>
          </cell>
          <cell r="B53" t="str">
            <v>Btnet Direct</v>
          </cell>
          <cell r="C53" t="str">
            <v>WSS</v>
          </cell>
          <cell r="D53" t="str">
            <v>Actual</v>
          </cell>
          <cell r="E53">
            <v>845</v>
          </cell>
          <cell r="F53">
            <v>968</v>
          </cell>
          <cell r="G53">
            <v>1038</v>
          </cell>
          <cell r="H53">
            <v>1193</v>
          </cell>
          <cell r="I53">
            <v>1390</v>
          </cell>
          <cell r="J53">
            <v>1578</v>
          </cell>
          <cell r="K53">
            <v>1830</v>
          </cell>
          <cell r="L53">
            <v>1988</v>
          </cell>
          <cell r="M53">
            <v>2154</v>
          </cell>
          <cell r="N53">
            <v>2316</v>
          </cell>
          <cell r="O53">
            <v>2444</v>
          </cell>
          <cell r="P53">
            <v>2618</v>
          </cell>
          <cell r="Q53">
            <v>1654</v>
          </cell>
          <cell r="R53">
            <v>1754</v>
          </cell>
          <cell r="S53">
            <v>0</v>
          </cell>
          <cell r="T53">
            <v>0</v>
          </cell>
        </row>
        <row r="54">
          <cell r="A54" t="str">
            <v>IP</v>
          </cell>
          <cell r="B54" t="str">
            <v>Dial IP</v>
          </cell>
          <cell r="C54" t="str">
            <v>Cessations</v>
          </cell>
          <cell r="D54" t="str">
            <v>Actual</v>
          </cell>
          <cell r="E54">
            <v>3</v>
          </cell>
          <cell r="F54">
            <v>3</v>
          </cell>
          <cell r="G54">
            <v>0</v>
          </cell>
          <cell r="H54">
            <v>3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5</v>
          </cell>
          <cell r="P54">
            <v>1</v>
          </cell>
          <cell r="Q54">
            <v>0</v>
          </cell>
          <cell r="R54">
            <v>2</v>
          </cell>
          <cell r="S54">
            <v>0</v>
          </cell>
          <cell r="T54">
            <v>1</v>
          </cell>
        </row>
        <row r="55">
          <cell r="A55" t="str">
            <v>IP</v>
          </cell>
          <cell r="B55" t="str">
            <v>Dial IP</v>
          </cell>
          <cell r="C55" t="str">
            <v>Demand</v>
          </cell>
          <cell r="D55" t="str">
            <v>Actual</v>
          </cell>
          <cell r="E55">
            <v>0</v>
          </cell>
          <cell r="F55">
            <v>14</v>
          </cell>
          <cell r="G55">
            <v>34</v>
          </cell>
          <cell r="H55">
            <v>48</v>
          </cell>
          <cell r="I55">
            <v>55</v>
          </cell>
          <cell r="J55">
            <v>47</v>
          </cell>
          <cell r="K55">
            <v>40</v>
          </cell>
          <cell r="L55">
            <v>25</v>
          </cell>
          <cell r="M55">
            <v>21</v>
          </cell>
          <cell r="N55">
            <v>17</v>
          </cell>
          <cell r="O55">
            <v>55</v>
          </cell>
          <cell r="P55">
            <v>36</v>
          </cell>
          <cell r="Q55">
            <v>40</v>
          </cell>
          <cell r="R55">
            <v>29</v>
          </cell>
          <cell r="S55">
            <v>40</v>
          </cell>
          <cell r="T55">
            <v>49</v>
          </cell>
        </row>
        <row r="56">
          <cell r="A56" t="str">
            <v>IP</v>
          </cell>
          <cell r="B56" t="str">
            <v>Dial IP</v>
          </cell>
          <cell r="C56" t="str">
            <v>OIH</v>
          </cell>
          <cell r="D56" t="str">
            <v>Actual</v>
          </cell>
          <cell r="E56">
            <v>0</v>
          </cell>
          <cell r="F56">
            <v>12</v>
          </cell>
          <cell r="G56">
            <v>21</v>
          </cell>
          <cell r="H56">
            <v>40</v>
          </cell>
          <cell r="I56">
            <v>33</v>
          </cell>
          <cell r="J56">
            <v>36</v>
          </cell>
          <cell r="K56">
            <v>40</v>
          </cell>
          <cell r="L56">
            <v>30</v>
          </cell>
          <cell r="M56">
            <v>27</v>
          </cell>
          <cell r="N56">
            <v>32</v>
          </cell>
          <cell r="O56">
            <v>52</v>
          </cell>
          <cell r="P56">
            <v>37</v>
          </cell>
          <cell r="Q56">
            <v>40</v>
          </cell>
          <cell r="R56">
            <v>39</v>
          </cell>
          <cell r="S56">
            <v>40</v>
          </cell>
          <cell r="T56">
            <v>19</v>
          </cell>
        </row>
        <row r="57">
          <cell r="A57" t="str">
            <v>IP</v>
          </cell>
          <cell r="B57" t="str">
            <v>Dial IP</v>
          </cell>
          <cell r="C57" t="str">
            <v>RSS</v>
          </cell>
          <cell r="D57" t="str">
            <v>Actual</v>
          </cell>
          <cell r="E57">
            <v>47799</v>
          </cell>
          <cell r="F57">
            <v>48319</v>
          </cell>
          <cell r="G57">
            <v>48451</v>
          </cell>
          <cell r="H57">
            <v>48493</v>
          </cell>
          <cell r="I57">
            <v>48890</v>
          </cell>
          <cell r="J57">
            <v>48930</v>
          </cell>
          <cell r="K57">
            <v>48690</v>
          </cell>
          <cell r="L57">
            <v>61530</v>
          </cell>
          <cell r="M57">
            <v>99330</v>
          </cell>
          <cell r="N57">
            <v>105210</v>
          </cell>
          <cell r="O57">
            <v>107370</v>
          </cell>
          <cell r="P57">
            <v>122376</v>
          </cell>
          <cell r="Q57">
            <v>86790</v>
          </cell>
          <cell r="R57">
            <v>87344</v>
          </cell>
          <cell r="S57">
            <v>87382</v>
          </cell>
          <cell r="T57">
            <v>87433</v>
          </cell>
        </row>
        <row r="58">
          <cell r="A58" t="str">
            <v>IP</v>
          </cell>
          <cell r="B58" t="str">
            <v>Dial IP</v>
          </cell>
          <cell r="C58" t="str">
            <v>RSS</v>
          </cell>
          <cell r="D58" t="str">
            <v>Budget</v>
          </cell>
          <cell r="E58">
            <v>13886</v>
          </cell>
          <cell r="F58">
            <v>17986</v>
          </cell>
          <cell r="G58">
            <v>24227</v>
          </cell>
          <cell r="H58">
            <v>30868</v>
          </cell>
          <cell r="I58">
            <v>37023</v>
          </cell>
          <cell r="J58">
            <v>46725</v>
          </cell>
          <cell r="K58">
            <v>70435</v>
          </cell>
          <cell r="L58">
            <v>87135</v>
          </cell>
          <cell r="M58">
            <v>112385</v>
          </cell>
          <cell r="N58">
            <v>118735</v>
          </cell>
          <cell r="O58">
            <v>122515</v>
          </cell>
          <cell r="P58">
            <v>128863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A59" t="str">
            <v>IP</v>
          </cell>
          <cell r="B59" t="str">
            <v>Dial IP</v>
          </cell>
          <cell r="C59" t="str">
            <v>Supply</v>
          </cell>
          <cell r="D59" t="str">
            <v>Actual</v>
          </cell>
          <cell r="E59">
            <v>0</v>
          </cell>
          <cell r="F59">
            <v>10</v>
          </cell>
          <cell r="G59">
            <v>25</v>
          </cell>
          <cell r="H59">
            <v>27</v>
          </cell>
          <cell r="I59">
            <v>60</v>
          </cell>
          <cell r="J59">
            <v>44</v>
          </cell>
          <cell r="K59">
            <v>35</v>
          </cell>
          <cell r="L59">
            <v>33</v>
          </cell>
          <cell r="M59">
            <v>24</v>
          </cell>
          <cell r="N59">
            <v>12</v>
          </cell>
          <cell r="O59">
            <v>34</v>
          </cell>
          <cell r="P59">
            <v>51</v>
          </cell>
          <cell r="Q59">
            <v>36</v>
          </cell>
          <cell r="R59">
            <v>30</v>
          </cell>
          <cell r="S59">
            <v>38</v>
          </cell>
          <cell r="T59">
            <v>52</v>
          </cell>
        </row>
        <row r="60">
          <cell r="A60" t="str">
            <v>IP</v>
          </cell>
          <cell r="B60" t="str">
            <v>Dial IP</v>
          </cell>
          <cell r="C60" t="str">
            <v>WSS</v>
          </cell>
          <cell r="D60" t="str">
            <v>Actual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149610</v>
          </cell>
          <cell r="R60">
            <v>158310</v>
          </cell>
          <cell r="S60">
            <v>0</v>
          </cell>
          <cell r="T60">
            <v>0</v>
          </cell>
        </row>
        <row r="61">
          <cell r="A61" t="str">
            <v>IP</v>
          </cell>
          <cell r="B61" t="str">
            <v>IPVPN</v>
          </cell>
          <cell r="C61" t="str">
            <v>Cessations</v>
          </cell>
          <cell r="D61" t="str">
            <v>Actual</v>
          </cell>
          <cell r="E61">
            <v>0</v>
          </cell>
          <cell r="F61">
            <v>2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  <cell r="Q61">
            <v>2</v>
          </cell>
          <cell r="R61">
            <v>0</v>
          </cell>
          <cell r="S61">
            <v>0</v>
          </cell>
          <cell r="T61">
            <v>1</v>
          </cell>
        </row>
        <row r="62">
          <cell r="A62" t="str">
            <v>IP</v>
          </cell>
          <cell r="B62" t="str">
            <v>IPVPN</v>
          </cell>
          <cell r="C62" t="str">
            <v>Demand</v>
          </cell>
          <cell r="D62" t="str">
            <v>Actual</v>
          </cell>
          <cell r="E62">
            <v>22</v>
          </cell>
          <cell r="F62">
            <v>26</v>
          </cell>
          <cell r="G62">
            <v>1</v>
          </cell>
          <cell r="H62">
            <v>3</v>
          </cell>
          <cell r="I62">
            <v>4</v>
          </cell>
          <cell r="J62">
            <v>34</v>
          </cell>
          <cell r="K62">
            <v>7</v>
          </cell>
          <cell r="L62">
            <v>80</v>
          </cell>
          <cell r="M62">
            <v>27</v>
          </cell>
          <cell r="N62">
            <v>11</v>
          </cell>
          <cell r="O62">
            <v>7</v>
          </cell>
          <cell r="P62">
            <v>33</v>
          </cell>
          <cell r="Q62">
            <v>21</v>
          </cell>
          <cell r="R62">
            <v>41</v>
          </cell>
          <cell r="S62">
            <v>58</v>
          </cell>
          <cell r="T62">
            <v>122</v>
          </cell>
        </row>
        <row r="63">
          <cell r="A63" t="str">
            <v>IP</v>
          </cell>
          <cell r="B63" t="str">
            <v>IPVPN</v>
          </cell>
          <cell r="C63" t="str">
            <v>OIH</v>
          </cell>
          <cell r="D63" t="str">
            <v>Actual</v>
          </cell>
          <cell r="E63">
            <v>12</v>
          </cell>
          <cell r="F63">
            <v>6</v>
          </cell>
          <cell r="G63">
            <v>6</v>
          </cell>
          <cell r="H63">
            <v>4</v>
          </cell>
          <cell r="I63">
            <v>32</v>
          </cell>
          <cell r="J63">
            <v>55</v>
          </cell>
          <cell r="K63">
            <v>48</v>
          </cell>
          <cell r="L63">
            <v>120</v>
          </cell>
          <cell r="M63">
            <v>33</v>
          </cell>
          <cell r="N63">
            <v>35</v>
          </cell>
          <cell r="O63">
            <v>19</v>
          </cell>
          <cell r="P63">
            <v>44</v>
          </cell>
          <cell r="Q63">
            <v>51</v>
          </cell>
          <cell r="R63">
            <v>84</v>
          </cell>
          <cell r="S63">
            <v>105</v>
          </cell>
          <cell r="T63">
            <v>191</v>
          </cell>
        </row>
        <row r="64">
          <cell r="A64" t="str">
            <v>IP</v>
          </cell>
          <cell r="B64" t="str">
            <v>IPVPN</v>
          </cell>
          <cell r="C64" t="str">
            <v>RSS</v>
          </cell>
          <cell r="D64" t="str">
            <v>Actual</v>
          </cell>
          <cell r="E64">
            <v>26</v>
          </cell>
          <cell r="F64">
            <v>48</v>
          </cell>
          <cell r="G64">
            <v>49</v>
          </cell>
          <cell r="H64">
            <v>54</v>
          </cell>
          <cell r="I64">
            <v>58</v>
          </cell>
          <cell r="J64">
            <v>69</v>
          </cell>
          <cell r="K64">
            <v>83</v>
          </cell>
          <cell r="L64">
            <v>93</v>
          </cell>
          <cell r="M64">
            <v>191</v>
          </cell>
          <cell r="N64">
            <v>200</v>
          </cell>
          <cell r="O64">
            <v>220</v>
          </cell>
          <cell r="P64">
            <v>227</v>
          </cell>
          <cell r="Q64">
            <v>170</v>
          </cell>
          <cell r="R64">
            <v>177</v>
          </cell>
          <cell r="S64">
            <v>213</v>
          </cell>
          <cell r="T64">
            <v>248</v>
          </cell>
        </row>
        <row r="65">
          <cell r="A65" t="str">
            <v>IP</v>
          </cell>
          <cell r="B65" t="str">
            <v>IPVPN</v>
          </cell>
          <cell r="C65" t="str">
            <v>RSS</v>
          </cell>
          <cell r="D65" t="str">
            <v>Budget</v>
          </cell>
          <cell r="E65">
            <v>6</v>
          </cell>
          <cell r="F65">
            <v>11</v>
          </cell>
          <cell r="G65">
            <v>13</v>
          </cell>
          <cell r="H65">
            <v>17</v>
          </cell>
          <cell r="I65">
            <v>35</v>
          </cell>
          <cell r="J65">
            <v>61</v>
          </cell>
          <cell r="K65">
            <v>119</v>
          </cell>
          <cell r="L65">
            <v>148</v>
          </cell>
          <cell r="M65">
            <v>202</v>
          </cell>
          <cell r="N65">
            <v>230</v>
          </cell>
          <cell r="O65">
            <v>300</v>
          </cell>
          <cell r="P65">
            <v>326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A66" t="str">
            <v>IP</v>
          </cell>
          <cell r="B66" t="str">
            <v>IPVPN</v>
          </cell>
          <cell r="C66" t="str">
            <v>Supply</v>
          </cell>
          <cell r="D66" t="str">
            <v>Actual</v>
          </cell>
          <cell r="E66">
            <v>26</v>
          </cell>
          <cell r="F66">
            <v>22</v>
          </cell>
          <cell r="G66">
            <v>1</v>
          </cell>
          <cell r="H66">
            <v>5</v>
          </cell>
          <cell r="I66">
            <v>4</v>
          </cell>
          <cell r="J66">
            <v>11</v>
          </cell>
          <cell r="K66">
            <v>14</v>
          </cell>
          <cell r="L66">
            <v>10</v>
          </cell>
          <cell r="M66">
            <v>98</v>
          </cell>
          <cell r="N66">
            <v>9</v>
          </cell>
          <cell r="O66">
            <v>20</v>
          </cell>
          <cell r="P66">
            <v>7</v>
          </cell>
          <cell r="Q66">
            <v>11</v>
          </cell>
          <cell r="R66">
            <v>7</v>
          </cell>
          <cell r="S66">
            <v>36</v>
          </cell>
          <cell r="T66">
            <v>36</v>
          </cell>
        </row>
        <row r="67">
          <cell r="A67" t="str">
            <v>IP</v>
          </cell>
          <cell r="B67" t="str">
            <v>IPVPN</v>
          </cell>
          <cell r="C67" t="str">
            <v>WSS</v>
          </cell>
          <cell r="D67" t="str">
            <v>Actual</v>
          </cell>
          <cell r="E67">
            <v>26</v>
          </cell>
          <cell r="F67">
            <v>48</v>
          </cell>
          <cell r="G67">
            <v>49</v>
          </cell>
          <cell r="H67">
            <v>54</v>
          </cell>
          <cell r="I67">
            <v>58</v>
          </cell>
          <cell r="J67">
            <v>69</v>
          </cell>
          <cell r="K67">
            <v>83</v>
          </cell>
          <cell r="L67">
            <v>93</v>
          </cell>
          <cell r="M67">
            <v>191</v>
          </cell>
          <cell r="N67">
            <v>200</v>
          </cell>
          <cell r="O67">
            <v>220</v>
          </cell>
          <cell r="P67">
            <v>227</v>
          </cell>
          <cell r="Q67">
            <v>170</v>
          </cell>
          <cell r="R67">
            <v>177</v>
          </cell>
          <cell r="S67">
            <v>0</v>
          </cell>
          <cell r="T67">
            <v>0</v>
          </cell>
        </row>
        <row r="68">
          <cell r="A68" t="str">
            <v>ISDN</v>
          </cell>
          <cell r="B68" t="str">
            <v>Business Highway</v>
          </cell>
          <cell r="C68" t="str">
            <v>Cessations</v>
          </cell>
          <cell r="D68" t="str">
            <v>Actual</v>
          </cell>
          <cell r="E68">
            <v>436</v>
          </cell>
          <cell r="F68">
            <v>629</v>
          </cell>
          <cell r="G68">
            <v>732</v>
          </cell>
          <cell r="H68">
            <v>843</v>
          </cell>
          <cell r="I68">
            <v>908</v>
          </cell>
          <cell r="J68">
            <v>1076</v>
          </cell>
          <cell r="K68">
            <v>1558</v>
          </cell>
          <cell r="L68">
            <v>1541</v>
          </cell>
          <cell r="M68">
            <v>1787</v>
          </cell>
          <cell r="N68">
            <v>1677</v>
          </cell>
          <cell r="O68">
            <v>1741</v>
          </cell>
          <cell r="P68">
            <v>2314</v>
          </cell>
          <cell r="Q68">
            <v>1876</v>
          </cell>
          <cell r="R68">
            <v>2086</v>
          </cell>
          <cell r="S68">
            <v>2898</v>
          </cell>
          <cell r="T68">
            <v>2590</v>
          </cell>
        </row>
        <row r="69">
          <cell r="A69" t="str">
            <v>ISDN</v>
          </cell>
          <cell r="B69" t="str">
            <v>Business Highway</v>
          </cell>
          <cell r="C69" t="str">
            <v>Cessations</v>
          </cell>
          <cell r="D69" t="str">
            <v>Budget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1605.3419379351899</v>
          </cell>
          <cell r="R69">
            <v>2639.5319013237399</v>
          </cell>
          <cell r="S69">
            <v>3181.7397265586801</v>
          </cell>
          <cell r="T69">
            <v>2443.19713971385</v>
          </cell>
        </row>
        <row r="70">
          <cell r="A70" t="str">
            <v>ISDN</v>
          </cell>
          <cell r="B70" t="str">
            <v>Business Highway</v>
          </cell>
          <cell r="C70" t="str">
            <v>Demand</v>
          </cell>
          <cell r="D70" t="str">
            <v>Actual</v>
          </cell>
          <cell r="E70">
            <v>8673</v>
          </cell>
          <cell r="F70">
            <v>10081</v>
          </cell>
          <cell r="G70">
            <v>10324</v>
          </cell>
          <cell r="H70">
            <v>12481</v>
          </cell>
          <cell r="I70">
            <v>11144</v>
          </cell>
          <cell r="J70">
            <v>11395</v>
          </cell>
          <cell r="K70">
            <v>14063</v>
          </cell>
          <cell r="L70">
            <v>10784</v>
          </cell>
          <cell r="M70">
            <v>9260</v>
          </cell>
          <cell r="N70">
            <v>10412</v>
          </cell>
          <cell r="O70">
            <v>12333</v>
          </cell>
          <cell r="P70">
            <v>16855</v>
          </cell>
          <cell r="Q70">
            <v>10284</v>
          </cell>
          <cell r="R70">
            <v>9291</v>
          </cell>
          <cell r="S70">
            <v>13374</v>
          </cell>
          <cell r="T70">
            <v>12284</v>
          </cell>
        </row>
        <row r="71">
          <cell r="A71" t="str">
            <v>ISDN</v>
          </cell>
          <cell r="B71" t="str">
            <v>Business Highway</v>
          </cell>
          <cell r="C71" t="str">
            <v>Demand</v>
          </cell>
          <cell r="D71" t="str">
            <v>Budget</v>
          </cell>
          <cell r="E71">
            <v>13447.34</v>
          </cell>
          <cell r="F71">
            <v>14472.91</v>
          </cell>
          <cell r="G71">
            <v>12626.93</v>
          </cell>
          <cell r="H71">
            <v>13202</v>
          </cell>
          <cell r="I71">
            <v>12394.86</v>
          </cell>
          <cell r="J71">
            <v>10413.68</v>
          </cell>
          <cell r="K71">
            <v>16323.26</v>
          </cell>
          <cell r="L71">
            <v>10015.27</v>
          </cell>
          <cell r="M71">
            <v>11923.99</v>
          </cell>
          <cell r="N71">
            <v>9809.23</v>
          </cell>
          <cell r="O71">
            <v>11230.76</v>
          </cell>
          <cell r="P71">
            <v>14109.76</v>
          </cell>
          <cell r="Q71">
            <v>12127.544706295899</v>
          </cell>
          <cell r="R71">
            <v>13689.137186026101</v>
          </cell>
          <cell r="S71">
            <v>16291.6820228383</v>
          </cell>
          <cell r="T71">
            <v>15099.8938283676</v>
          </cell>
        </row>
        <row r="72">
          <cell r="A72" t="str">
            <v>ISDN</v>
          </cell>
          <cell r="B72" t="str">
            <v>Business Highway</v>
          </cell>
          <cell r="C72" t="str">
            <v>OIH</v>
          </cell>
          <cell r="D72" t="str">
            <v>Actual</v>
          </cell>
          <cell r="E72">
            <v>7351</v>
          </cell>
          <cell r="F72">
            <v>9670</v>
          </cell>
          <cell r="G72">
            <v>10482</v>
          </cell>
          <cell r="H72">
            <v>10338</v>
          </cell>
          <cell r="I72">
            <v>11217</v>
          </cell>
          <cell r="J72">
            <v>12578</v>
          </cell>
          <cell r="K72">
            <v>11655</v>
          </cell>
          <cell r="L72">
            <v>11429</v>
          </cell>
          <cell r="M72">
            <v>9195</v>
          </cell>
          <cell r="N72">
            <v>10278</v>
          </cell>
          <cell r="O72">
            <v>11296</v>
          </cell>
          <cell r="P72">
            <v>12293</v>
          </cell>
          <cell r="Q72">
            <v>24042</v>
          </cell>
          <cell r="R72">
            <v>11318</v>
          </cell>
          <cell r="S72">
            <v>11100</v>
          </cell>
          <cell r="T72">
            <v>12269</v>
          </cell>
        </row>
        <row r="73">
          <cell r="A73" t="str">
            <v>ISDN</v>
          </cell>
          <cell r="B73" t="str">
            <v>Business Highway</v>
          </cell>
          <cell r="C73" t="str">
            <v>OIH</v>
          </cell>
          <cell r="D73" t="str">
            <v>Budget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A74" t="str">
            <v>ISDN</v>
          </cell>
          <cell r="B74" t="str">
            <v>Business Highway</v>
          </cell>
          <cell r="C74" t="str">
            <v>RSS</v>
          </cell>
          <cell r="D74" t="str">
            <v>Actual</v>
          </cell>
          <cell r="E74">
            <v>37386</v>
          </cell>
          <cell r="F74">
            <v>44474</v>
          </cell>
          <cell r="G74">
            <v>53234</v>
          </cell>
          <cell r="H74">
            <v>64844</v>
          </cell>
          <cell r="I74">
            <v>74169</v>
          </cell>
          <cell r="J74">
            <v>83159</v>
          </cell>
          <cell r="K74">
            <v>96561</v>
          </cell>
          <cell r="L74">
            <v>105312</v>
          </cell>
          <cell r="M74">
            <v>114547</v>
          </cell>
          <cell r="N74">
            <v>122188</v>
          </cell>
          <cell r="O74">
            <v>131444</v>
          </cell>
          <cell r="P74">
            <v>141341</v>
          </cell>
          <cell r="Q74">
            <v>149403</v>
          </cell>
          <cell r="R74">
            <v>156815</v>
          </cell>
          <cell r="S74">
            <v>166828</v>
          </cell>
          <cell r="T74">
            <v>174906</v>
          </cell>
        </row>
        <row r="75">
          <cell r="A75" t="str">
            <v>ISDN</v>
          </cell>
          <cell r="B75" t="str">
            <v>Business Highway</v>
          </cell>
          <cell r="C75" t="str">
            <v>RSS</v>
          </cell>
          <cell r="D75" t="str">
            <v>Budget</v>
          </cell>
          <cell r="E75">
            <v>42033.13</v>
          </cell>
          <cell r="F75">
            <v>51653.02</v>
          </cell>
          <cell r="G75">
            <v>61272.91</v>
          </cell>
          <cell r="H75">
            <v>73930.66</v>
          </cell>
          <cell r="I75">
            <v>84056.86</v>
          </cell>
          <cell r="J75">
            <v>93676.75</v>
          </cell>
          <cell r="K75">
            <v>106334.5</v>
          </cell>
          <cell r="L75">
            <v>116460.7</v>
          </cell>
          <cell r="M75">
            <v>128105.83</v>
          </cell>
          <cell r="N75">
            <v>137725.72</v>
          </cell>
          <cell r="O75">
            <v>147851.92000000001</v>
          </cell>
          <cell r="P75">
            <v>160509.67000000001</v>
          </cell>
          <cell r="Q75">
            <v>150978.31413703301</v>
          </cell>
          <cell r="R75">
            <v>161283.22582494799</v>
          </cell>
          <cell r="S75">
            <v>175973.61694008901</v>
          </cell>
          <cell r="T75">
            <v>186984.56698530199</v>
          </cell>
        </row>
        <row r="76">
          <cell r="A76" t="str">
            <v>ISDN</v>
          </cell>
          <cell r="B76" t="str">
            <v>Business Highway</v>
          </cell>
          <cell r="C76" t="str">
            <v>Supply</v>
          </cell>
          <cell r="D76" t="str">
            <v>Actual</v>
          </cell>
          <cell r="E76">
            <v>7446</v>
          </cell>
          <cell r="F76">
            <v>7762</v>
          </cell>
          <cell r="G76">
            <v>9512</v>
          </cell>
          <cell r="H76">
            <v>12676</v>
          </cell>
          <cell r="I76">
            <v>10265</v>
          </cell>
          <cell r="J76">
            <v>10034</v>
          </cell>
          <cell r="K76">
            <v>14986</v>
          </cell>
          <cell r="L76">
            <v>10981</v>
          </cell>
          <cell r="M76">
            <v>11495</v>
          </cell>
          <cell r="N76">
            <v>9313</v>
          </cell>
          <cell r="O76">
            <v>11319</v>
          </cell>
          <cell r="P76">
            <v>15818</v>
          </cell>
          <cell r="Q76">
            <v>10541</v>
          </cell>
          <cell r="R76">
            <v>9976</v>
          </cell>
          <cell r="S76">
            <v>13527</v>
          </cell>
          <cell r="T76">
            <v>11085</v>
          </cell>
        </row>
        <row r="77">
          <cell r="A77" t="str">
            <v>ISDN</v>
          </cell>
          <cell r="B77" t="str">
            <v>Business Highway</v>
          </cell>
          <cell r="C77" t="str">
            <v>Supply</v>
          </cell>
          <cell r="D77" t="str">
            <v>Budget</v>
          </cell>
          <cell r="E77">
            <v>11943.9</v>
          </cell>
          <cell r="F77">
            <v>9866.7000000000007</v>
          </cell>
          <cell r="G77">
            <v>9866.7000000000007</v>
          </cell>
          <cell r="H77">
            <v>12982.5</v>
          </cell>
          <cell r="I77">
            <v>10386</v>
          </cell>
          <cell r="J77">
            <v>9866.7000000000007</v>
          </cell>
          <cell r="K77">
            <v>12982.5</v>
          </cell>
          <cell r="L77">
            <v>10386</v>
          </cell>
          <cell r="M77">
            <v>11943.9</v>
          </cell>
          <cell r="N77">
            <v>9866.7000000000007</v>
          </cell>
          <cell r="O77">
            <v>10386</v>
          </cell>
          <cell r="P77">
            <v>12982.5</v>
          </cell>
          <cell r="Q77">
            <v>6019.6053913043497</v>
          </cell>
          <cell r="R77">
            <v>8018.1459999999997</v>
          </cell>
          <cell r="S77">
            <v>12411.658105263199</v>
          </cell>
          <cell r="T77">
            <v>10475.446400000001</v>
          </cell>
        </row>
        <row r="78">
          <cell r="A78" t="str">
            <v>ISDN</v>
          </cell>
          <cell r="B78" t="str">
            <v>Business Highway</v>
          </cell>
          <cell r="C78" t="str">
            <v>WSS</v>
          </cell>
          <cell r="D78" t="str">
            <v>Actual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151699</v>
          </cell>
          <cell r="R78">
            <v>159412</v>
          </cell>
          <cell r="S78">
            <v>169887</v>
          </cell>
          <cell r="T78">
            <v>178298</v>
          </cell>
        </row>
        <row r="79">
          <cell r="A79" t="str">
            <v>ISDN</v>
          </cell>
          <cell r="B79" t="str">
            <v>Home Highway</v>
          </cell>
          <cell r="C79" t="str">
            <v>Cessations</v>
          </cell>
          <cell r="D79" t="str">
            <v>Actual</v>
          </cell>
          <cell r="E79">
            <v>0</v>
          </cell>
          <cell r="F79">
            <v>0</v>
          </cell>
          <cell r="G79">
            <v>0</v>
          </cell>
          <cell r="H79">
            <v>319</v>
          </cell>
          <cell r="I79">
            <v>320</v>
          </cell>
          <cell r="J79">
            <v>352</v>
          </cell>
          <cell r="K79">
            <v>893</v>
          </cell>
          <cell r="L79">
            <v>476</v>
          </cell>
          <cell r="M79">
            <v>465</v>
          </cell>
          <cell r="N79">
            <v>411</v>
          </cell>
          <cell r="O79">
            <v>464</v>
          </cell>
          <cell r="P79">
            <v>814</v>
          </cell>
          <cell r="Q79">
            <v>575</v>
          </cell>
          <cell r="R79">
            <v>684</v>
          </cell>
          <cell r="S79">
            <v>1049</v>
          </cell>
          <cell r="T79">
            <v>1195</v>
          </cell>
        </row>
        <row r="80">
          <cell r="A80" t="str">
            <v>ISDN</v>
          </cell>
          <cell r="B80" t="str">
            <v>Home Highway</v>
          </cell>
          <cell r="C80" t="str">
            <v>Cessations</v>
          </cell>
          <cell r="D80" t="str">
            <v>Budget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1900.00000000001</v>
          </cell>
          <cell r="R80">
            <v>1900.00000000001</v>
          </cell>
          <cell r="S80">
            <v>1900.00000000001</v>
          </cell>
          <cell r="T80">
            <v>1499.99999999999</v>
          </cell>
        </row>
        <row r="81">
          <cell r="A81" t="str">
            <v>ISDN</v>
          </cell>
          <cell r="B81" t="str">
            <v>Home Highway</v>
          </cell>
          <cell r="C81" t="str">
            <v>Demand</v>
          </cell>
          <cell r="D81" t="str">
            <v>Actual</v>
          </cell>
          <cell r="E81">
            <v>8743</v>
          </cell>
          <cell r="F81">
            <v>10736</v>
          </cell>
          <cell r="G81">
            <v>11150</v>
          </cell>
          <cell r="H81">
            <v>9589</v>
          </cell>
          <cell r="I81">
            <v>7510</v>
          </cell>
          <cell r="J81">
            <v>10193</v>
          </cell>
          <cell r="K81">
            <v>10840</v>
          </cell>
          <cell r="L81">
            <v>11933</v>
          </cell>
          <cell r="M81">
            <v>11373</v>
          </cell>
          <cell r="N81">
            <v>13549</v>
          </cell>
          <cell r="O81">
            <v>13855</v>
          </cell>
          <cell r="P81">
            <v>14775</v>
          </cell>
          <cell r="Q81">
            <v>8314</v>
          </cell>
          <cell r="R81">
            <v>8125</v>
          </cell>
          <cell r="S81">
            <v>11176</v>
          </cell>
          <cell r="T81">
            <v>10509</v>
          </cell>
        </row>
        <row r="82">
          <cell r="A82" t="str">
            <v>ISDN</v>
          </cell>
          <cell r="B82" t="str">
            <v>Home Highway</v>
          </cell>
          <cell r="C82" t="str">
            <v>Demand</v>
          </cell>
          <cell r="D82" t="str">
            <v>Budget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12000</v>
          </cell>
          <cell r="R82">
            <v>12000</v>
          </cell>
          <cell r="S82">
            <v>15000</v>
          </cell>
          <cell r="T82">
            <v>10400</v>
          </cell>
        </row>
        <row r="83">
          <cell r="A83" t="str">
            <v>ISDN</v>
          </cell>
          <cell r="B83" t="str">
            <v>Home Highway</v>
          </cell>
          <cell r="C83" t="str">
            <v>OIH</v>
          </cell>
          <cell r="D83" t="str">
            <v>Actual</v>
          </cell>
          <cell r="E83">
            <v>0</v>
          </cell>
          <cell r="F83">
            <v>0</v>
          </cell>
          <cell r="G83">
            <v>10900</v>
          </cell>
          <cell r="H83">
            <v>7472</v>
          </cell>
          <cell r="I83">
            <v>7856</v>
          </cell>
          <cell r="J83">
            <v>10523</v>
          </cell>
          <cell r="K83">
            <v>9062</v>
          </cell>
          <cell r="L83">
            <v>11141</v>
          </cell>
          <cell r="M83">
            <v>10147</v>
          </cell>
          <cell r="N83">
            <v>13473</v>
          </cell>
          <cell r="O83">
            <v>15054</v>
          </cell>
          <cell r="P83">
            <v>13283</v>
          </cell>
          <cell r="Q83">
            <v>11124</v>
          </cell>
          <cell r="R83">
            <v>9415</v>
          </cell>
          <cell r="S83">
            <v>9245</v>
          </cell>
          <cell r="T83">
            <v>10458</v>
          </cell>
        </row>
        <row r="84">
          <cell r="A84" t="str">
            <v>ISDN</v>
          </cell>
          <cell r="B84" t="str">
            <v>Home Highway</v>
          </cell>
          <cell r="C84" t="str">
            <v>OIH</v>
          </cell>
          <cell r="D84" t="str">
            <v>Budget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A85" t="str">
            <v>ISDN</v>
          </cell>
          <cell r="B85" t="str">
            <v>Home Highway</v>
          </cell>
          <cell r="C85" t="str">
            <v>RSS</v>
          </cell>
          <cell r="D85" t="str">
            <v>Actual</v>
          </cell>
          <cell r="E85">
            <v>0</v>
          </cell>
          <cell r="F85">
            <v>0</v>
          </cell>
          <cell r="G85">
            <v>0</v>
          </cell>
          <cell r="H85">
            <v>65716</v>
          </cell>
          <cell r="I85">
            <v>72338</v>
          </cell>
          <cell r="J85">
            <v>79185</v>
          </cell>
          <cell r="K85">
            <v>90235</v>
          </cell>
          <cell r="L85">
            <v>95280</v>
          </cell>
          <cell r="M85">
            <v>105181</v>
          </cell>
          <cell r="N85">
            <v>112746</v>
          </cell>
          <cell r="O85">
            <v>122901</v>
          </cell>
          <cell r="P85">
            <v>136260</v>
          </cell>
          <cell r="Q85">
            <v>144142</v>
          </cell>
          <cell r="R85">
            <v>151354</v>
          </cell>
          <cell r="S85">
            <v>158196</v>
          </cell>
          <cell r="T85">
            <v>163342</v>
          </cell>
        </row>
        <row r="86">
          <cell r="A86" t="str">
            <v>ISDN</v>
          </cell>
          <cell r="B86" t="str">
            <v>Home Highway</v>
          </cell>
          <cell r="C86" t="str">
            <v>RSS</v>
          </cell>
          <cell r="D86" t="str">
            <v>Budget</v>
          </cell>
          <cell r="E86">
            <v>34947.69</v>
          </cell>
          <cell r="F86">
            <v>40603.96</v>
          </cell>
          <cell r="G86">
            <v>47638.99</v>
          </cell>
          <cell r="H86">
            <v>54614.080000000002</v>
          </cell>
          <cell r="I86">
            <v>59108.88</v>
          </cell>
          <cell r="J86">
            <v>65544.45</v>
          </cell>
          <cell r="K86">
            <v>75734.179999999993</v>
          </cell>
          <cell r="L86">
            <v>84769.94</v>
          </cell>
          <cell r="M86">
            <v>91969.83</v>
          </cell>
          <cell r="N86">
            <v>100518.52</v>
          </cell>
          <cell r="O86">
            <v>109756.6</v>
          </cell>
          <cell r="P86">
            <v>122171.85</v>
          </cell>
          <cell r="Q86">
            <v>144500</v>
          </cell>
          <cell r="R86">
            <v>155100</v>
          </cell>
          <cell r="S86">
            <v>165700</v>
          </cell>
          <cell r="T86">
            <v>174600</v>
          </cell>
        </row>
        <row r="87">
          <cell r="A87" t="str">
            <v>ISDN</v>
          </cell>
          <cell r="B87" t="str">
            <v>Home Highway</v>
          </cell>
          <cell r="C87" t="str">
            <v>Supply</v>
          </cell>
          <cell r="D87" t="str">
            <v>Actual</v>
          </cell>
          <cell r="E87">
            <v>5575</v>
          </cell>
          <cell r="F87">
            <v>8351</v>
          </cell>
          <cell r="G87">
            <v>9602</v>
          </cell>
          <cell r="H87">
            <v>12981</v>
          </cell>
          <cell r="I87">
            <v>8015</v>
          </cell>
          <cell r="J87">
            <v>7526</v>
          </cell>
          <cell r="K87">
            <v>12401</v>
          </cell>
          <cell r="L87">
            <v>9487</v>
          </cell>
          <cell r="M87">
            <v>12035</v>
          </cell>
          <cell r="N87">
            <v>9567</v>
          </cell>
          <cell r="O87">
            <v>12089</v>
          </cell>
          <cell r="P87">
            <v>15840</v>
          </cell>
          <cell r="Q87">
            <v>9937</v>
          </cell>
          <cell r="R87">
            <v>9337</v>
          </cell>
          <cell r="S87">
            <v>10473</v>
          </cell>
          <cell r="T87">
            <v>8354</v>
          </cell>
        </row>
        <row r="88">
          <cell r="A88" t="str">
            <v>ISDN</v>
          </cell>
          <cell r="B88" t="str">
            <v>Home Highway</v>
          </cell>
          <cell r="C88" t="str">
            <v>Supply</v>
          </cell>
          <cell r="D88" t="str">
            <v>Budget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12500</v>
          </cell>
          <cell r="R88">
            <v>12500</v>
          </cell>
          <cell r="S88">
            <v>12500</v>
          </cell>
          <cell r="T88">
            <v>10416.666666666701</v>
          </cell>
        </row>
        <row r="89">
          <cell r="A89" t="str">
            <v>ISDN</v>
          </cell>
          <cell r="B89" t="str">
            <v>Home Highway</v>
          </cell>
          <cell r="C89" t="str">
            <v>WSS</v>
          </cell>
          <cell r="D89" t="str">
            <v>Actual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159868</v>
          </cell>
          <cell r="R89">
            <v>168636</v>
          </cell>
          <cell r="S89">
            <v>178270</v>
          </cell>
          <cell r="T89">
            <v>185489</v>
          </cell>
        </row>
        <row r="90">
          <cell r="A90" t="str">
            <v>ISDN</v>
          </cell>
          <cell r="B90" t="str">
            <v>ISDN2</v>
          </cell>
          <cell r="C90" t="str">
            <v>Cessations</v>
          </cell>
          <cell r="D90" t="str">
            <v>Actual</v>
          </cell>
          <cell r="E90">
            <v>10825</v>
          </cell>
          <cell r="F90">
            <v>9823</v>
          </cell>
          <cell r="G90">
            <v>8872</v>
          </cell>
          <cell r="H90">
            <v>13074</v>
          </cell>
          <cell r="I90">
            <v>9009</v>
          </cell>
          <cell r="J90">
            <v>8834</v>
          </cell>
          <cell r="K90">
            <v>12843</v>
          </cell>
          <cell r="L90">
            <v>12326</v>
          </cell>
          <cell r="M90">
            <v>12833</v>
          </cell>
          <cell r="N90">
            <v>11773</v>
          </cell>
          <cell r="O90">
            <v>11480</v>
          </cell>
          <cell r="P90">
            <v>17063</v>
          </cell>
          <cell r="Q90">
            <v>39524</v>
          </cell>
          <cell r="R90">
            <v>13185</v>
          </cell>
          <cell r="S90">
            <v>17813</v>
          </cell>
          <cell r="T90">
            <v>15247</v>
          </cell>
        </row>
        <row r="91">
          <cell r="A91" t="str">
            <v>ISDN</v>
          </cell>
          <cell r="B91" t="str">
            <v>ISDN2</v>
          </cell>
          <cell r="C91" t="str">
            <v>Cessations</v>
          </cell>
          <cell r="D91" t="str">
            <v>Budget</v>
          </cell>
          <cell r="E91">
            <v>14107.97</v>
          </cell>
          <cell r="F91">
            <v>11654.41</v>
          </cell>
          <cell r="G91">
            <v>11654.41</v>
          </cell>
          <cell r="H91">
            <v>15334.75</v>
          </cell>
          <cell r="I91">
            <v>12267.8</v>
          </cell>
          <cell r="J91">
            <v>11654.41</v>
          </cell>
          <cell r="K91">
            <v>15334.75</v>
          </cell>
          <cell r="L91">
            <v>12267.8</v>
          </cell>
          <cell r="M91">
            <v>14107.97</v>
          </cell>
          <cell r="N91">
            <v>11654.41</v>
          </cell>
          <cell r="O91">
            <v>12267.8</v>
          </cell>
          <cell r="P91">
            <v>15334.75</v>
          </cell>
          <cell r="Q91">
            <v>9151.6516903281408</v>
          </cell>
          <cell r="R91">
            <v>10247.7546246365</v>
          </cell>
          <cell r="S91">
            <v>13070.8873708357</v>
          </cell>
          <cell r="T91">
            <v>11422.965551364099</v>
          </cell>
        </row>
        <row r="92">
          <cell r="A92" t="str">
            <v>ISDN</v>
          </cell>
          <cell r="B92" t="str">
            <v>ISDN2</v>
          </cell>
          <cell r="C92" t="str">
            <v>Demand</v>
          </cell>
          <cell r="D92" t="str">
            <v>Actual</v>
          </cell>
          <cell r="E92">
            <v>26762</v>
          </cell>
          <cell r="F92">
            <v>23580</v>
          </cell>
          <cell r="G92">
            <v>24542</v>
          </cell>
          <cell r="H92">
            <v>34118</v>
          </cell>
          <cell r="I92">
            <v>26993</v>
          </cell>
          <cell r="J92">
            <v>25439</v>
          </cell>
          <cell r="K92">
            <v>34467</v>
          </cell>
          <cell r="L92">
            <v>32215</v>
          </cell>
          <cell r="M92">
            <v>31172</v>
          </cell>
          <cell r="N92">
            <v>22466</v>
          </cell>
          <cell r="O92">
            <v>32123</v>
          </cell>
          <cell r="P92">
            <v>44106</v>
          </cell>
          <cell r="Q92">
            <v>29951</v>
          </cell>
          <cell r="R92">
            <v>33430</v>
          </cell>
          <cell r="S92">
            <v>42411</v>
          </cell>
          <cell r="T92">
            <v>36021</v>
          </cell>
        </row>
        <row r="93">
          <cell r="A93" t="str">
            <v>ISDN</v>
          </cell>
          <cell r="B93" t="str">
            <v>ISDN2</v>
          </cell>
          <cell r="C93" t="str">
            <v>Demand</v>
          </cell>
          <cell r="D93" t="str">
            <v>Budget</v>
          </cell>
          <cell r="E93">
            <v>27052.83</v>
          </cell>
          <cell r="F93">
            <v>20725.28</v>
          </cell>
          <cell r="G93">
            <v>19893.47</v>
          </cell>
          <cell r="H93">
            <v>26398</v>
          </cell>
          <cell r="I93">
            <v>19605.14</v>
          </cell>
          <cell r="J93">
            <v>22836.32</v>
          </cell>
          <cell r="K93">
            <v>28176.74</v>
          </cell>
          <cell r="L93">
            <v>24384.73</v>
          </cell>
          <cell r="M93">
            <v>21890.25</v>
          </cell>
          <cell r="N93">
            <v>22465.97</v>
          </cell>
          <cell r="O93">
            <v>21885.24</v>
          </cell>
          <cell r="P93">
            <v>21976.04</v>
          </cell>
          <cell r="Q93">
            <v>23035.147826086999</v>
          </cell>
          <cell r="R93">
            <v>21427.043478260901</v>
          </cell>
          <cell r="S93">
            <v>28156.173913043502</v>
          </cell>
          <cell r="T93">
            <v>27634.608695652201</v>
          </cell>
        </row>
        <row r="94">
          <cell r="A94" t="str">
            <v>ISDN</v>
          </cell>
          <cell r="B94" t="str">
            <v>ISDN2</v>
          </cell>
          <cell r="C94" t="str">
            <v>OIH</v>
          </cell>
          <cell r="D94" t="str">
            <v>Actual</v>
          </cell>
          <cell r="E94">
            <v>26028</v>
          </cell>
          <cell r="F94">
            <v>26556</v>
          </cell>
          <cell r="G94">
            <v>28776</v>
          </cell>
          <cell r="H94">
            <v>31145</v>
          </cell>
          <cell r="I94">
            <v>33080</v>
          </cell>
          <cell r="J94">
            <v>32216</v>
          </cell>
          <cell r="K94">
            <v>31721</v>
          </cell>
          <cell r="L94">
            <v>37462</v>
          </cell>
          <cell r="M94">
            <v>37031</v>
          </cell>
          <cell r="N94">
            <v>36408</v>
          </cell>
          <cell r="O94">
            <v>54827</v>
          </cell>
          <cell r="P94">
            <v>38328</v>
          </cell>
          <cell r="Q94">
            <v>79048</v>
          </cell>
          <cell r="R94">
            <v>39910</v>
          </cell>
          <cell r="S94">
            <v>40073</v>
          </cell>
          <cell r="T94">
            <v>42100</v>
          </cell>
        </row>
        <row r="95">
          <cell r="A95" t="str">
            <v>ISDN</v>
          </cell>
          <cell r="B95" t="str">
            <v>ISDN2</v>
          </cell>
          <cell r="C95" t="str">
            <v>OIH</v>
          </cell>
          <cell r="D95" t="str">
            <v>Budget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A96" t="str">
            <v>ISDN</v>
          </cell>
          <cell r="B96" t="str">
            <v>ISDN2</v>
          </cell>
          <cell r="C96" t="str">
            <v>RSS</v>
          </cell>
          <cell r="D96" t="str">
            <v>Actual</v>
          </cell>
          <cell r="E96">
            <v>680329</v>
          </cell>
          <cell r="F96">
            <v>695164</v>
          </cell>
          <cell r="G96">
            <v>709116</v>
          </cell>
          <cell r="H96">
            <v>729365</v>
          </cell>
          <cell r="I96">
            <v>746614</v>
          </cell>
          <cell r="J96">
            <v>764685</v>
          </cell>
          <cell r="K96">
            <v>787345</v>
          </cell>
          <cell r="L96">
            <v>801860</v>
          </cell>
          <cell r="M96">
            <v>818055</v>
          </cell>
          <cell r="N96">
            <v>831507</v>
          </cell>
          <cell r="O96">
            <v>847989</v>
          </cell>
          <cell r="P96">
            <v>868019</v>
          </cell>
          <cell r="Q96">
            <v>884206</v>
          </cell>
          <cell r="R96">
            <v>900669</v>
          </cell>
          <cell r="S96">
            <v>923026</v>
          </cell>
          <cell r="T96">
            <v>938580</v>
          </cell>
        </row>
        <row r="97">
          <cell r="A97" t="str">
            <v>ISDN</v>
          </cell>
          <cell r="B97" t="str">
            <v>ISDN2</v>
          </cell>
          <cell r="C97" t="str">
            <v>RSS</v>
          </cell>
          <cell r="D97" t="str">
            <v>Budget</v>
          </cell>
          <cell r="E97">
            <v>673608.53</v>
          </cell>
          <cell r="F97">
            <v>683262.62</v>
          </cell>
          <cell r="G97">
            <v>692916.71</v>
          </cell>
          <cell r="H97">
            <v>705619.46</v>
          </cell>
          <cell r="I97">
            <v>715781.66</v>
          </cell>
          <cell r="J97">
            <v>725435.75</v>
          </cell>
          <cell r="K97">
            <v>738138.5</v>
          </cell>
          <cell r="L97">
            <v>748300.7</v>
          </cell>
          <cell r="M97">
            <v>756213.39</v>
          </cell>
          <cell r="N97">
            <v>765867.48</v>
          </cell>
          <cell r="O97">
            <v>776029.68</v>
          </cell>
          <cell r="P97">
            <v>784630.43</v>
          </cell>
          <cell r="Q97">
            <v>892564.68151543499</v>
          </cell>
          <cell r="R97">
            <v>907518.86594373803</v>
          </cell>
          <cell r="S97">
            <v>925095.37622980902</v>
          </cell>
          <cell r="T97">
            <v>941256.46263661399</v>
          </cell>
        </row>
        <row r="98">
          <cell r="A98" t="str">
            <v>ISDN</v>
          </cell>
          <cell r="B98" t="str">
            <v>ISDN2</v>
          </cell>
          <cell r="C98" t="str">
            <v>Supply</v>
          </cell>
          <cell r="D98" t="str">
            <v>Actual</v>
          </cell>
          <cell r="E98">
            <v>27418</v>
          </cell>
          <cell r="F98">
            <v>23052</v>
          </cell>
          <cell r="G98">
            <v>22322</v>
          </cell>
          <cell r="H98">
            <v>31746</v>
          </cell>
          <cell r="I98">
            <v>25058</v>
          </cell>
          <cell r="J98">
            <v>26303</v>
          </cell>
          <cell r="K98">
            <v>34952</v>
          </cell>
          <cell r="L98">
            <v>29871</v>
          </cell>
          <cell r="M98">
            <v>31318</v>
          </cell>
          <cell r="N98">
            <v>21309</v>
          </cell>
          <cell r="O98">
            <v>30869</v>
          </cell>
          <cell r="P98">
            <v>42260</v>
          </cell>
          <cell r="Q98">
            <v>29503</v>
          </cell>
          <cell r="R98">
            <v>32816</v>
          </cell>
          <cell r="S98">
            <v>42049</v>
          </cell>
          <cell r="T98">
            <v>33752</v>
          </cell>
        </row>
        <row r="99">
          <cell r="A99" t="str">
            <v>ISDN</v>
          </cell>
          <cell r="B99" t="str">
            <v>ISDN2</v>
          </cell>
          <cell r="C99" t="str">
            <v>Supply</v>
          </cell>
          <cell r="D99" t="str">
            <v>Budget</v>
          </cell>
          <cell r="E99">
            <v>25794.5</v>
          </cell>
          <cell r="F99">
            <v>21308.5</v>
          </cell>
          <cell r="G99">
            <v>21308.5</v>
          </cell>
          <cell r="H99">
            <v>28037.5</v>
          </cell>
          <cell r="I99">
            <v>22430</v>
          </cell>
          <cell r="J99">
            <v>21308.5</v>
          </cell>
          <cell r="K99">
            <v>28037.5</v>
          </cell>
          <cell r="L99">
            <v>22430</v>
          </cell>
          <cell r="M99">
            <v>22020.66</v>
          </cell>
          <cell r="N99">
            <v>21308.5</v>
          </cell>
          <cell r="O99">
            <v>22430</v>
          </cell>
          <cell r="P99">
            <v>23935.5</v>
          </cell>
          <cell r="Q99">
            <v>23245.6868511012</v>
          </cell>
          <cell r="R99">
            <v>30063.971073590201</v>
          </cell>
          <cell r="S99">
            <v>25454.902643195601</v>
          </cell>
          <cell r="T99">
            <v>27513.189583203799</v>
          </cell>
        </row>
        <row r="100">
          <cell r="A100" t="str">
            <v>ISDN</v>
          </cell>
          <cell r="B100" t="str">
            <v>ISDN2</v>
          </cell>
          <cell r="C100" t="str">
            <v>WSS</v>
          </cell>
          <cell r="D100" t="str">
            <v>Actual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967901</v>
          </cell>
          <cell r="R100">
            <v>986752</v>
          </cell>
          <cell r="S100">
            <v>1012025</v>
          </cell>
          <cell r="T100">
            <v>1030157</v>
          </cell>
        </row>
        <row r="101">
          <cell r="A101" t="str">
            <v>ISDN</v>
          </cell>
          <cell r="B101" t="str">
            <v>ISDN30</v>
          </cell>
          <cell r="C101" t="str">
            <v>Cessations</v>
          </cell>
          <cell r="D101" t="str">
            <v>Actual</v>
          </cell>
          <cell r="E101">
            <v>14219</v>
          </cell>
          <cell r="F101">
            <v>11407</v>
          </cell>
          <cell r="G101">
            <v>9601</v>
          </cell>
          <cell r="H101">
            <v>17337</v>
          </cell>
          <cell r="I101">
            <v>12771</v>
          </cell>
          <cell r="J101">
            <v>12432</v>
          </cell>
          <cell r="K101">
            <v>18198</v>
          </cell>
          <cell r="L101">
            <v>15266</v>
          </cell>
          <cell r="M101">
            <v>20402</v>
          </cell>
          <cell r="N101">
            <v>17423</v>
          </cell>
          <cell r="O101">
            <v>11649</v>
          </cell>
          <cell r="P101">
            <v>18107</v>
          </cell>
          <cell r="Q101">
            <v>15565</v>
          </cell>
          <cell r="R101">
            <v>16424</v>
          </cell>
          <cell r="S101">
            <v>18193</v>
          </cell>
          <cell r="T101">
            <v>15624</v>
          </cell>
        </row>
        <row r="102">
          <cell r="A102" t="str">
            <v>ISDN</v>
          </cell>
          <cell r="B102" t="str">
            <v>ISDN30</v>
          </cell>
          <cell r="C102" t="str">
            <v>Cessations</v>
          </cell>
          <cell r="D102" t="str">
            <v>Budget</v>
          </cell>
          <cell r="E102">
            <v>18926.009999999998</v>
          </cell>
          <cell r="F102">
            <v>15634.53</v>
          </cell>
          <cell r="G102">
            <v>15634.53</v>
          </cell>
          <cell r="H102">
            <v>20571.75</v>
          </cell>
          <cell r="I102">
            <v>16457.400000000001</v>
          </cell>
          <cell r="J102">
            <v>15634.53</v>
          </cell>
          <cell r="K102">
            <v>20571.75</v>
          </cell>
          <cell r="L102">
            <v>16457.400000000001</v>
          </cell>
          <cell r="M102">
            <v>18926.009999999998</v>
          </cell>
          <cell r="N102">
            <v>15634.53</v>
          </cell>
          <cell r="O102">
            <v>16457.400000000001</v>
          </cell>
          <cell r="P102">
            <v>20571.75</v>
          </cell>
          <cell r="Q102">
            <v>17804.202509643299</v>
          </cell>
          <cell r="R102">
            <v>17363.615101793901</v>
          </cell>
          <cell r="S102">
            <v>23289.514460931099</v>
          </cell>
          <cell r="T102">
            <v>20228.5911106491</v>
          </cell>
        </row>
        <row r="103">
          <cell r="A103" t="str">
            <v>ISDN</v>
          </cell>
          <cell r="B103" t="str">
            <v>ISDN30</v>
          </cell>
          <cell r="C103" t="str">
            <v>Demand</v>
          </cell>
          <cell r="D103" t="str">
            <v>Actual</v>
          </cell>
          <cell r="E103">
            <v>50123</v>
          </cell>
          <cell r="F103">
            <v>32797</v>
          </cell>
          <cell r="G103">
            <v>37606</v>
          </cell>
          <cell r="H103">
            <v>45009</v>
          </cell>
          <cell r="I103">
            <v>38699</v>
          </cell>
          <cell r="J103">
            <v>35461</v>
          </cell>
          <cell r="K103">
            <v>45969</v>
          </cell>
          <cell r="L103">
            <v>43016</v>
          </cell>
          <cell r="M103">
            <v>41337</v>
          </cell>
          <cell r="N103">
            <v>39828</v>
          </cell>
          <cell r="O103">
            <v>46565</v>
          </cell>
          <cell r="P103">
            <v>55466</v>
          </cell>
          <cell r="Q103">
            <v>36979</v>
          </cell>
          <cell r="R103">
            <v>43416</v>
          </cell>
          <cell r="S103">
            <v>50794</v>
          </cell>
          <cell r="T103">
            <v>45370</v>
          </cell>
        </row>
        <row r="104">
          <cell r="A104" t="str">
            <v>ISDN</v>
          </cell>
          <cell r="B104" t="str">
            <v>ISDN30</v>
          </cell>
          <cell r="C104" t="str">
            <v>Demand</v>
          </cell>
          <cell r="D104" t="str">
            <v>Budget</v>
          </cell>
          <cell r="E104">
            <v>30389.5</v>
          </cell>
          <cell r="F104">
            <v>35020.050000000003</v>
          </cell>
          <cell r="G104">
            <v>29820.16</v>
          </cell>
          <cell r="H104">
            <v>36243.53</v>
          </cell>
          <cell r="I104">
            <v>28527.78</v>
          </cell>
          <cell r="J104">
            <v>33461.5</v>
          </cell>
          <cell r="K104">
            <v>41467.660000000003</v>
          </cell>
          <cell r="L104">
            <v>36120.57</v>
          </cell>
          <cell r="M104">
            <v>31875.38</v>
          </cell>
          <cell r="N104">
            <v>33661.5</v>
          </cell>
          <cell r="O104">
            <v>34791.120000000003</v>
          </cell>
          <cell r="P104">
            <v>35741.25</v>
          </cell>
          <cell r="Q104">
            <v>45594.704347826097</v>
          </cell>
          <cell r="R104">
            <v>35221.126086956501</v>
          </cell>
          <cell r="S104">
            <v>51013.356521739101</v>
          </cell>
          <cell r="T104">
            <v>46879.739130434798</v>
          </cell>
        </row>
        <row r="105">
          <cell r="A105" t="str">
            <v>ISDN</v>
          </cell>
          <cell r="B105" t="str">
            <v>ISDN30</v>
          </cell>
          <cell r="C105" t="str">
            <v>OIH</v>
          </cell>
          <cell r="D105" t="str">
            <v>Actual</v>
          </cell>
          <cell r="E105">
            <v>113297</v>
          </cell>
          <cell r="F105">
            <v>113565</v>
          </cell>
          <cell r="G105">
            <v>118130</v>
          </cell>
          <cell r="H105">
            <v>106232</v>
          </cell>
          <cell r="I105">
            <v>101889</v>
          </cell>
          <cell r="J105">
            <v>97546</v>
          </cell>
          <cell r="K105">
            <v>95610</v>
          </cell>
          <cell r="L105">
            <v>105525</v>
          </cell>
          <cell r="M105">
            <v>93277</v>
          </cell>
          <cell r="N105">
            <v>96014</v>
          </cell>
          <cell r="O105">
            <v>106816</v>
          </cell>
          <cell r="P105">
            <v>106093</v>
          </cell>
          <cell r="Q105">
            <v>107190</v>
          </cell>
          <cell r="R105">
            <v>108138</v>
          </cell>
          <cell r="S105">
            <v>110087</v>
          </cell>
          <cell r="T105">
            <v>112296</v>
          </cell>
        </row>
        <row r="106">
          <cell r="A106" t="str">
            <v>ISDN</v>
          </cell>
          <cell r="B106" t="str">
            <v>ISDN30</v>
          </cell>
          <cell r="C106" t="str">
            <v>OIH</v>
          </cell>
          <cell r="D106" t="str">
            <v>Budget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A107" t="str">
            <v>ISDN</v>
          </cell>
          <cell r="B107" t="str">
            <v>ISDN30</v>
          </cell>
          <cell r="C107" t="str">
            <v>RSS</v>
          </cell>
          <cell r="D107" t="str">
            <v>Actual</v>
          </cell>
          <cell r="E107">
            <v>1075169</v>
          </cell>
          <cell r="F107">
            <v>1097199</v>
          </cell>
          <cell r="G107">
            <v>1117519</v>
          </cell>
          <cell r="H107">
            <v>1145116</v>
          </cell>
          <cell r="I107">
            <v>1167922</v>
          </cell>
          <cell r="J107">
            <v>1190396</v>
          </cell>
          <cell r="K107">
            <v>1223655</v>
          </cell>
          <cell r="L107">
            <v>1255410</v>
          </cell>
          <cell r="M107">
            <v>1282863</v>
          </cell>
          <cell r="N107">
            <v>1302671</v>
          </cell>
          <cell r="O107">
            <v>1320357</v>
          </cell>
          <cell r="P107">
            <v>1346801</v>
          </cell>
          <cell r="Q107">
            <v>1359771</v>
          </cell>
          <cell r="R107">
            <v>1388415</v>
          </cell>
          <cell r="S107">
            <v>1414986</v>
          </cell>
          <cell r="T107">
            <v>1437693</v>
          </cell>
        </row>
        <row r="108">
          <cell r="A108" t="str">
            <v>ISDN</v>
          </cell>
          <cell r="B108" t="str">
            <v>ISDN30</v>
          </cell>
          <cell r="C108" t="str">
            <v>RSS</v>
          </cell>
          <cell r="D108" t="str">
            <v>Budget</v>
          </cell>
          <cell r="E108">
            <v>1067600.49</v>
          </cell>
          <cell r="F108">
            <v>1080627.46</v>
          </cell>
          <cell r="G108">
            <v>1093654.43</v>
          </cell>
          <cell r="H108">
            <v>1110795.18</v>
          </cell>
          <cell r="I108">
            <v>1124507.78</v>
          </cell>
          <cell r="J108">
            <v>1137534.75</v>
          </cell>
          <cell r="K108">
            <v>1154675.5</v>
          </cell>
          <cell r="L108">
            <v>1168388.1000000001</v>
          </cell>
          <cell r="M108">
            <v>1180688.04</v>
          </cell>
          <cell r="N108">
            <v>1193715.01</v>
          </cell>
          <cell r="O108">
            <v>1207427.6100000001</v>
          </cell>
          <cell r="P108">
            <v>1220797.1100000001</v>
          </cell>
          <cell r="Q108">
            <v>1374343.02113595</v>
          </cell>
          <cell r="R108">
            <v>1395546.1249567501</v>
          </cell>
          <cell r="S108">
            <v>1421475.90435878</v>
          </cell>
          <cell r="T108">
            <v>1447950.45782608</v>
          </cell>
        </row>
        <row r="109">
          <cell r="A109" t="str">
            <v>ISDN</v>
          </cell>
          <cell r="B109" t="str">
            <v>ISDN30</v>
          </cell>
          <cell r="C109" t="str">
            <v>Supply</v>
          </cell>
          <cell r="D109" t="str">
            <v>Actual</v>
          </cell>
          <cell r="E109">
            <v>42612</v>
          </cell>
          <cell r="F109">
            <v>32707</v>
          </cell>
          <cell r="G109">
            <v>33045</v>
          </cell>
          <cell r="H109">
            <v>49509</v>
          </cell>
          <cell r="I109">
            <v>43042</v>
          </cell>
          <cell r="J109">
            <v>39540</v>
          </cell>
          <cell r="K109">
            <v>47905</v>
          </cell>
          <cell r="L109">
            <v>43294</v>
          </cell>
          <cell r="M109">
            <v>51554</v>
          </cell>
          <cell r="N109">
            <v>35826</v>
          </cell>
          <cell r="O109">
            <v>38181</v>
          </cell>
          <cell r="P109">
            <v>51414</v>
          </cell>
          <cell r="Q109">
            <v>33861</v>
          </cell>
          <cell r="R109">
            <v>40918</v>
          </cell>
          <cell r="S109">
            <v>45749</v>
          </cell>
          <cell r="T109">
            <v>41093</v>
          </cell>
        </row>
        <row r="110">
          <cell r="A110" t="str">
            <v>ISDN</v>
          </cell>
          <cell r="B110" t="str">
            <v>ISDN30</v>
          </cell>
          <cell r="C110" t="str">
            <v>Supply</v>
          </cell>
          <cell r="D110" t="str">
            <v>Budget</v>
          </cell>
          <cell r="E110">
            <v>34695.5</v>
          </cell>
          <cell r="F110">
            <v>28661.5</v>
          </cell>
          <cell r="G110">
            <v>28661.5</v>
          </cell>
          <cell r="H110">
            <v>37712.5</v>
          </cell>
          <cell r="I110">
            <v>30170</v>
          </cell>
          <cell r="J110">
            <v>28661.5</v>
          </cell>
          <cell r="K110">
            <v>37712.5</v>
          </cell>
          <cell r="L110">
            <v>30170</v>
          </cell>
          <cell r="M110">
            <v>31225.95</v>
          </cell>
          <cell r="N110">
            <v>28661.5</v>
          </cell>
          <cell r="O110">
            <v>30170</v>
          </cell>
          <cell r="P110">
            <v>33941.25</v>
          </cell>
          <cell r="Q110">
            <v>39287.801208135199</v>
          </cell>
          <cell r="R110">
            <v>46727.862661269297</v>
          </cell>
          <cell r="S110">
            <v>40979.1821967414</v>
          </cell>
          <cell r="T110">
            <v>46661.132753749102</v>
          </cell>
        </row>
        <row r="111">
          <cell r="A111" t="str">
            <v>ISDN</v>
          </cell>
          <cell r="B111" t="str">
            <v>ISDN30</v>
          </cell>
          <cell r="C111" t="str">
            <v>WSS</v>
          </cell>
          <cell r="D111" t="str">
            <v>Actual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1521217</v>
          </cell>
          <cell r="R111">
            <v>1550868</v>
          </cell>
          <cell r="S111">
            <v>1578200</v>
          </cell>
          <cell r="T111">
            <v>1602760</v>
          </cell>
        </row>
        <row r="112">
          <cell r="A112" t="str">
            <v>ISDN</v>
          </cell>
          <cell r="B112" t="str">
            <v>ISDNConnect</v>
          </cell>
          <cell r="C112" t="str">
            <v>Cessations</v>
          </cell>
          <cell r="D112" t="str">
            <v>Budget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A113" t="str">
            <v>ISDN</v>
          </cell>
          <cell r="B113" t="str">
            <v>ISDNConnect</v>
          </cell>
          <cell r="C113" t="str">
            <v>Demand</v>
          </cell>
          <cell r="D113" t="str">
            <v>Budget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639.21428571428601</v>
          </cell>
          <cell r="R113">
            <v>674.72619047619003</v>
          </cell>
          <cell r="S113">
            <v>852.28571428571399</v>
          </cell>
          <cell r="T113">
            <v>710.23809523809496</v>
          </cell>
        </row>
        <row r="114">
          <cell r="A114" t="str">
            <v>ISDN</v>
          </cell>
          <cell r="B114" t="str">
            <v>ISDNConnect</v>
          </cell>
          <cell r="C114" t="str">
            <v>OIH</v>
          </cell>
          <cell r="D114" t="str">
            <v>Budget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749.21428571428601</v>
          </cell>
          <cell r="R114">
            <v>1423.94047619048</v>
          </cell>
          <cell r="S114">
            <v>2276.2261904761899</v>
          </cell>
          <cell r="T114">
            <v>2986.4642857142899</v>
          </cell>
        </row>
        <row r="115">
          <cell r="A115" t="str">
            <v>ISDN</v>
          </cell>
          <cell r="B115" t="str">
            <v>ISDNConnect</v>
          </cell>
          <cell r="C115" t="str">
            <v>RSS</v>
          </cell>
          <cell r="D115" t="str">
            <v>Budget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639.21428571428601</v>
          </cell>
          <cell r="R115">
            <v>674.72619047619003</v>
          </cell>
          <cell r="S115">
            <v>852.28571428571399</v>
          </cell>
          <cell r="T115">
            <v>710.23809523809496</v>
          </cell>
        </row>
        <row r="116">
          <cell r="A116" t="str">
            <v>PCs</v>
          </cell>
          <cell r="B116" t="str">
            <v>$KiloStream</v>
          </cell>
          <cell r="C116" t="str">
            <v>Cessations</v>
          </cell>
          <cell r="D116" t="str">
            <v>Actual</v>
          </cell>
          <cell r="E116">
            <v>967</v>
          </cell>
          <cell r="F116">
            <v>1258</v>
          </cell>
          <cell r="G116">
            <v>1929</v>
          </cell>
          <cell r="H116">
            <v>1338</v>
          </cell>
          <cell r="I116">
            <v>984</v>
          </cell>
          <cell r="J116">
            <v>1952</v>
          </cell>
          <cell r="K116">
            <v>922</v>
          </cell>
          <cell r="L116">
            <v>689</v>
          </cell>
          <cell r="M116">
            <v>1557</v>
          </cell>
          <cell r="N116">
            <v>1295</v>
          </cell>
          <cell r="O116">
            <v>1568</v>
          </cell>
          <cell r="P116">
            <v>2638</v>
          </cell>
          <cell r="Q116">
            <v>1353</v>
          </cell>
          <cell r="R116">
            <v>1174</v>
          </cell>
          <cell r="S116">
            <v>1493</v>
          </cell>
          <cell r="T116">
            <v>1405</v>
          </cell>
        </row>
        <row r="117">
          <cell r="A117" t="str">
            <v>PCs</v>
          </cell>
          <cell r="B117" t="str">
            <v>$KiloStream</v>
          </cell>
          <cell r="C117" t="str">
            <v>Cessations</v>
          </cell>
          <cell r="D117" t="str">
            <v>Budget</v>
          </cell>
          <cell r="E117">
            <v>2235</v>
          </cell>
          <cell r="F117">
            <v>2012</v>
          </cell>
          <cell r="G117">
            <v>2012</v>
          </cell>
          <cell r="H117">
            <v>2235</v>
          </cell>
          <cell r="I117">
            <v>2012</v>
          </cell>
          <cell r="J117">
            <v>2124</v>
          </cell>
          <cell r="K117">
            <v>2012</v>
          </cell>
          <cell r="L117">
            <v>1565</v>
          </cell>
          <cell r="M117">
            <v>1341</v>
          </cell>
          <cell r="N117">
            <v>1453</v>
          </cell>
          <cell r="O117">
            <v>1341</v>
          </cell>
          <cell r="P117">
            <v>2011</v>
          </cell>
          <cell r="Q117">
            <v>1476.4159999999999</v>
          </cell>
          <cell r="R117">
            <v>0</v>
          </cell>
          <cell r="S117">
            <v>1742.25</v>
          </cell>
          <cell r="T117">
            <v>1574.33</v>
          </cell>
        </row>
        <row r="118">
          <cell r="A118" t="str">
            <v>PCs</v>
          </cell>
          <cell r="B118" t="str">
            <v>$KiloStream</v>
          </cell>
          <cell r="C118" t="str">
            <v>Demand</v>
          </cell>
          <cell r="D118" t="str">
            <v>Actual</v>
          </cell>
          <cell r="E118">
            <v>2008</v>
          </cell>
          <cell r="F118">
            <v>2145</v>
          </cell>
          <cell r="G118">
            <v>2449</v>
          </cell>
          <cell r="H118">
            <v>2129</v>
          </cell>
          <cell r="I118">
            <v>2127</v>
          </cell>
          <cell r="J118">
            <v>2469</v>
          </cell>
          <cell r="K118">
            <v>1937</v>
          </cell>
          <cell r="L118">
            <v>1814</v>
          </cell>
          <cell r="M118">
            <v>1507</v>
          </cell>
          <cell r="N118">
            <v>1047</v>
          </cell>
          <cell r="O118">
            <v>1583</v>
          </cell>
          <cell r="P118">
            <v>2026</v>
          </cell>
          <cell r="Q118">
            <v>1717</v>
          </cell>
          <cell r="R118">
            <v>1612</v>
          </cell>
          <cell r="S118">
            <v>1962</v>
          </cell>
          <cell r="T118">
            <v>1449</v>
          </cell>
        </row>
        <row r="119">
          <cell r="A119" t="str">
            <v>PCs</v>
          </cell>
          <cell r="B119" t="str">
            <v>$KiloStream</v>
          </cell>
          <cell r="C119" t="str">
            <v>Demand</v>
          </cell>
          <cell r="D119" t="str">
            <v>Budget</v>
          </cell>
          <cell r="E119">
            <v>2561</v>
          </cell>
          <cell r="F119">
            <v>2561</v>
          </cell>
          <cell r="G119">
            <v>2846</v>
          </cell>
          <cell r="H119">
            <v>2561</v>
          </cell>
          <cell r="I119">
            <v>2561</v>
          </cell>
          <cell r="J119">
            <v>2418</v>
          </cell>
          <cell r="K119">
            <v>1850</v>
          </cell>
          <cell r="L119">
            <v>1565</v>
          </cell>
          <cell r="M119">
            <v>1850</v>
          </cell>
          <cell r="N119">
            <v>1850</v>
          </cell>
          <cell r="O119">
            <v>2704</v>
          </cell>
          <cell r="P119">
            <v>3129</v>
          </cell>
          <cell r="Q119">
            <v>2561</v>
          </cell>
          <cell r="R119">
            <v>2561</v>
          </cell>
          <cell r="S119">
            <v>2528.34</v>
          </cell>
          <cell r="T119">
            <v>2072.61</v>
          </cell>
        </row>
        <row r="120">
          <cell r="A120" t="str">
            <v>PCs</v>
          </cell>
          <cell r="B120" t="str">
            <v>$KiloStream</v>
          </cell>
          <cell r="C120" t="str">
            <v>OIH</v>
          </cell>
          <cell r="D120" t="str">
            <v>Actual</v>
          </cell>
          <cell r="E120">
            <v>2710</v>
          </cell>
          <cell r="F120">
            <v>2684</v>
          </cell>
          <cell r="G120">
            <v>2650</v>
          </cell>
          <cell r="H120">
            <v>2652</v>
          </cell>
          <cell r="I120">
            <v>2665</v>
          </cell>
          <cell r="J120">
            <v>2708</v>
          </cell>
          <cell r="K120">
            <v>2538</v>
          </cell>
          <cell r="L120">
            <v>2502</v>
          </cell>
          <cell r="M120">
            <v>1822</v>
          </cell>
          <cell r="N120">
            <v>1853</v>
          </cell>
          <cell r="O120">
            <v>1879</v>
          </cell>
          <cell r="P120">
            <v>1940</v>
          </cell>
          <cell r="Q120">
            <v>1909</v>
          </cell>
          <cell r="R120">
            <v>2106</v>
          </cell>
          <cell r="S120">
            <v>2151</v>
          </cell>
          <cell r="T120">
            <v>2036</v>
          </cell>
        </row>
        <row r="121">
          <cell r="A121" t="str">
            <v>PCs</v>
          </cell>
          <cell r="B121" t="str">
            <v>$KiloStream</v>
          </cell>
          <cell r="C121" t="str">
            <v>OIH</v>
          </cell>
          <cell r="D121" t="str">
            <v>Budget</v>
          </cell>
          <cell r="E121">
            <v>2794</v>
          </cell>
          <cell r="F121">
            <v>2704</v>
          </cell>
          <cell r="G121">
            <v>2899</v>
          </cell>
          <cell r="H121">
            <v>2515</v>
          </cell>
          <cell r="I121">
            <v>2425</v>
          </cell>
          <cell r="J121">
            <v>2046</v>
          </cell>
          <cell r="K121">
            <v>1245</v>
          </cell>
          <cell r="L121">
            <v>749</v>
          </cell>
          <cell r="M121">
            <v>832</v>
          </cell>
          <cell r="N121">
            <v>768</v>
          </cell>
          <cell r="O121">
            <v>1705</v>
          </cell>
          <cell r="P121">
            <v>2189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A122" t="str">
            <v>PCs</v>
          </cell>
          <cell r="B122" t="str">
            <v>$KiloStream</v>
          </cell>
          <cell r="C122" t="str">
            <v>RSS</v>
          </cell>
          <cell r="D122" t="str">
            <v>Actual</v>
          </cell>
          <cell r="E122">
            <v>113263</v>
          </cell>
          <cell r="F122">
            <v>113484</v>
          </cell>
          <cell r="G122">
            <v>113725</v>
          </cell>
          <cell r="H122">
            <v>113991</v>
          </cell>
          <cell r="I122">
            <v>114000</v>
          </cell>
          <cell r="J122">
            <v>114301</v>
          </cell>
          <cell r="K122">
            <v>114568</v>
          </cell>
          <cell r="L122">
            <v>114123</v>
          </cell>
          <cell r="M122">
            <v>113345</v>
          </cell>
          <cell r="N122">
            <v>112959</v>
          </cell>
          <cell r="O122">
            <v>112407</v>
          </cell>
          <cell r="P122">
            <v>111992</v>
          </cell>
          <cell r="Q122">
            <v>112299</v>
          </cell>
          <cell r="R122">
            <v>112073</v>
          </cell>
          <cell r="S122">
            <v>112280</v>
          </cell>
          <cell r="T122">
            <v>112181</v>
          </cell>
        </row>
        <row r="123">
          <cell r="A123" t="str">
            <v>PCs</v>
          </cell>
          <cell r="B123" t="str">
            <v>$KiloStream</v>
          </cell>
          <cell r="C123" t="str">
            <v>RSS</v>
          </cell>
          <cell r="D123" t="str">
            <v>Budget</v>
          </cell>
          <cell r="E123">
            <v>119241</v>
          </cell>
          <cell r="F123">
            <v>119579</v>
          </cell>
          <cell r="G123">
            <v>119693</v>
          </cell>
          <cell r="H123">
            <v>120290</v>
          </cell>
          <cell r="I123">
            <v>120628</v>
          </cell>
          <cell r="J123">
            <v>121202</v>
          </cell>
          <cell r="K123">
            <v>122091</v>
          </cell>
          <cell r="L123">
            <v>122681</v>
          </cell>
          <cell r="M123">
            <v>122789</v>
          </cell>
          <cell r="N123">
            <v>123030</v>
          </cell>
          <cell r="O123">
            <v>122479</v>
          </cell>
          <cell r="P123">
            <v>122367</v>
          </cell>
          <cell r="Q123">
            <v>115359</v>
          </cell>
          <cell r="R123">
            <v>115556</v>
          </cell>
          <cell r="S123">
            <v>115532</v>
          </cell>
          <cell r="T123">
            <v>115717</v>
          </cell>
        </row>
        <row r="124">
          <cell r="A124" t="str">
            <v>PCs</v>
          </cell>
          <cell r="B124" t="str">
            <v>$KiloStream</v>
          </cell>
          <cell r="C124" t="str">
            <v>Supply</v>
          </cell>
          <cell r="D124" t="str">
            <v>Actual</v>
          </cell>
          <cell r="E124">
            <v>2236</v>
          </cell>
          <cell r="F124">
            <v>2148</v>
          </cell>
          <cell r="G124">
            <v>2482</v>
          </cell>
          <cell r="H124">
            <v>2125</v>
          </cell>
          <cell r="I124">
            <v>2109</v>
          </cell>
          <cell r="J124">
            <v>2410</v>
          </cell>
          <cell r="K124">
            <v>2080</v>
          </cell>
          <cell r="L124">
            <v>1845</v>
          </cell>
          <cell r="M124">
            <v>2179</v>
          </cell>
          <cell r="N124">
            <v>1009</v>
          </cell>
          <cell r="O124">
            <v>1557</v>
          </cell>
          <cell r="P124">
            <v>1966</v>
          </cell>
          <cell r="Q124">
            <v>1718</v>
          </cell>
          <cell r="R124">
            <v>1440</v>
          </cell>
          <cell r="S124">
            <v>1904</v>
          </cell>
          <cell r="T124">
            <v>1572</v>
          </cell>
        </row>
        <row r="125">
          <cell r="A125" t="str">
            <v>PCs</v>
          </cell>
          <cell r="B125" t="str">
            <v>$KiloStream</v>
          </cell>
          <cell r="C125" t="str">
            <v>Supply</v>
          </cell>
          <cell r="D125" t="str">
            <v>Budget</v>
          </cell>
          <cell r="E125">
            <v>2945</v>
          </cell>
          <cell r="F125">
            <v>2651</v>
          </cell>
          <cell r="G125">
            <v>2651</v>
          </cell>
          <cell r="H125">
            <v>2945</v>
          </cell>
          <cell r="I125">
            <v>2651</v>
          </cell>
          <cell r="J125">
            <v>2797</v>
          </cell>
          <cell r="K125">
            <v>2651</v>
          </cell>
          <cell r="L125">
            <v>2061</v>
          </cell>
          <cell r="M125">
            <v>1767</v>
          </cell>
          <cell r="N125">
            <v>1914</v>
          </cell>
          <cell r="O125">
            <v>1767</v>
          </cell>
          <cell r="P125">
            <v>2645</v>
          </cell>
          <cell r="Q125">
            <v>1774</v>
          </cell>
          <cell r="R125">
            <v>2089</v>
          </cell>
          <cell r="S125">
            <v>2497</v>
          </cell>
          <cell r="T125">
            <v>2077</v>
          </cell>
        </row>
        <row r="126">
          <cell r="A126" t="str">
            <v>PCs</v>
          </cell>
          <cell r="B126" t="str">
            <v>$KiloStream</v>
          </cell>
          <cell r="C126" t="str">
            <v>WSS</v>
          </cell>
          <cell r="D126" t="str">
            <v>Actual</v>
          </cell>
          <cell r="E126">
            <v>120138</v>
          </cell>
          <cell r="F126">
            <v>120705</v>
          </cell>
          <cell r="G126">
            <v>120859</v>
          </cell>
          <cell r="H126">
            <v>121290</v>
          </cell>
          <cell r="I126">
            <v>122140</v>
          </cell>
          <cell r="J126">
            <v>122233</v>
          </cell>
          <cell r="K126">
            <v>123119</v>
          </cell>
          <cell r="L126">
            <v>123990</v>
          </cell>
          <cell r="M126">
            <v>124193</v>
          </cell>
          <cell r="N126">
            <v>123757</v>
          </cell>
          <cell r="O126">
            <v>123545</v>
          </cell>
          <cell r="P126">
            <v>122486</v>
          </cell>
          <cell r="Q126">
            <v>122298</v>
          </cell>
          <cell r="R126">
            <v>122484</v>
          </cell>
          <cell r="S126">
            <v>123089</v>
          </cell>
          <cell r="T126">
            <v>122739</v>
          </cell>
        </row>
        <row r="127">
          <cell r="A127" t="str">
            <v>PCs</v>
          </cell>
          <cell r="B127" t="str">
            <v>$KiloStream</v>
          </cell>
          <cell r="C127" t="str">
            <v>WSS</v>
          </cell>
          <cell r="D127" t="str">
            <v>Budget</v>
          </cell>
          <cell r="E127">
            <v>123543</v>
          </cell>
          <cell r="F127">
            <v>123852</v>
          </cell>
          <cell r="G127">
            <v>124158</v>
          </cell>
          <cell r="H127">
            <v>124503</v>
          </cell>
          <cell r="I127">
            <v>124812</v>
          </cell>
          <cell r="J127">
            <v>125135</v>
          </cell>
          <cell r="K127">
            <v>125444</v>
          </cell>
          <cell r="L127">
            <v>125681</v>
          </cell>
          <cell r="M127">
            <v>125880</v>
          </cell>
          <cell r="N127">
            <v>126100</v>
          </cell>
          <cell r="O127">
            <v>126302</v>
          </cell>
          <cell r="P127">
            <v>126605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A128" t="str">
            <v>PCs</v>
          </cell>
          <cell r="B128" t="str">
            <v>Extension Speechline</v>
          </cell>
          <cell r="C128" t="str">
            <v>Cessations</v>
          </cell>
          <cell r="D128" t="str">
            <v>Actual</v>
          </cell>
          <cell r="E128">
            <v>234</v>
          </cell>
          <cell r="F128">
            <v>211</v>
          </cell>
          <cell r="G128">
            <v>211</v>
          </cell>
          <cell r="H128">
            <v>234</v>
          </cell>
          <cell r="I128">
            <v>211</v>
          </cell>
          <cell r="J128">
            <v>222</v>
          </cell>
          <cell r="K128">
            <v>211</v>
          </cell>
          <cell r="L128">
            <v>164</v>
          </cell>
          <cell r="M128">
            <v>140</v>
          </cell>
          <cell r="N128">
            <v>152</v>
          </cell>
          <cell r="O128">
            <v>140</v>
          </cell>
          <cell r="P128">
            <v>211</v>
          </cell>
          <cell r="Q128">
            <v>270</v>
          </cell>
          <cell r="R128">
            <v>123</v>
          </cell>
          <cell r="S128">
            <v>0</v>
          </cell>
          <cell r="T128">
            <v>160</v>
          </cell>
        </row>
        <row r="129">
          <cell r="A129" t="str">
            <v>PCs</v>
          </cell>
          <cell r="B129" t="str">
            <v>Extension Speechline</v>
          </cell>
          <cell r="C129" t="str">
            <v>Cessations</v>
          </cell>
          <cell r="D129" t="str">
            <v>Budget</v>
          </cell>
          <cell r="E129">
            <v>1490</v>
          </cell>
          <cell r="F129">
            <v>1341</v>
          </cell>
          <cell r="G129">
            <v>1341</v>
          </cell>
          <cell r="H129">
            <v>1490</v>
          </cell>
          <cell r="I129">
            <v>1341</v>
          </cell>
          <cell r="J129">
            <v>1415</v>
          </cell>
          <cell r="K129">
            <v>1341</v>
          </cell>
          <cell r="L129">
            <v>1043</v>
          </cell>
          <cell r="M129">
            <v>894</v>
          </cell>
          <cell r="N129">
            <v>968</v>
          </cell>
          <cell r="O129">
            <v>894</v>
          </cell>
          <cell r="P129">
            <v>1340</v>
          </cell>
          <cell r="Q129">
            <v>1256.3889999999999</v>
          </cell>
          <cell r="R129">
            <v>0</v>
          </cell>
          <cell r="S129">
            <v>0</v>
          </cell>
          <cell r="T129">
            <v>341.78</v>
          </cell>
        </row>
        <row r="130">
          <cell r="A130" t="str">
            <v>PCs</v>
          </cell>
          <cell r="B130" t="str">
            <v>Extension Speechline</v>
          </cell>
          <cell r="C130" t="str">
            <v>Demand</v>
          </cell>
          <cell r="D130" t="str">
            <v>Actual</v>
          </cell>
          <cell r="E130">
            <v>-24</v>
          </cell>
          <cell r="F130">
            <v>-6</v>
          </cell>
          <cell r="G130">
            <v>-4</v>
          </cell>
          <cell r="H130">
            <v>0</v>
          </cell>
          <cell r="I130">
            <v>-3</v>
          </cell>
          <cell r="J130">
            <v>2</v>
          </cell>
          <cell r="K130">
            <v>0</v>
          </cell>
          <cell r="L130">
            <v>26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A131" t="str">
            <v>PCs</v>
          </cell>
          <cell r="B131" t="str">
            <v>Extension Speechline</v>
          </cell>
          <cell r="C131" t="str">
            <v>Demand</v>
          </cell>
          <cell r="D131" t="str">
            <v>Budget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A132" t="str">
            <v>PCs</v>
          </cell>
          <cell r="B132" t="str">
            <v>Extension Speechline</v>
          </cell>
          <cell r="C132" t="str">
            <v>OIH</v>
          </cell>
          <cell r="D132" t="str">
            <v>Actual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A133" t="str">
            <v>PCs</v>
          </cell>
          <cell r="B133" t="str">
            <v>Extension Speechline</v>
          </cell>
          <cell r="C133" t="str">
            <v>OIH</v>
          </cell>
          <cell r="D133" t="str">
            <v>Budget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A134" t="str">
            <v>PCs</v>
          </cell>
          <cell r="B134" t="str">
            <v>Extension Speechline</v>
          </cell>
          <cell r="C134" t="str">
            <v>RSS</v>
          </cell>
          <cell r="D134" t="str">
            <v>Actual</v>
          </cell>
          <cell r="E134">
            <v>18839</v>
          </cell>
          <cell r="F134">
            <v>18525</v>
          </cell>
          <cell r="G134">
            <v>18161</v>
          </cell>
          <cell r="H134">
            <v>17961</v>
          </cell>
          <cell r="I134">
            <v>17772</v>
          </cell>
          <cell r="J134">
            <v>17494</v>
          </cell>
          <cell r="K134">
            <v>17219</v>
          </cell>
          <cell r="L134">
            <v>16990</v>
          </cell>
          <cell r="M134">
            <v>16579</v>
          </cell>
          <cell r="N134">
            <v>16448</v>
          </cell>
          <cell r="O134">
            <v>16159</v>
          </cell>
          <cell r="P134">
            <v>15859</v>
          </cell>
          <cell r="Q134">
            <v>15600</v>
          </cell>
          <cell r="R134">
            <v>15465</v>
          </cell>
          <cell r="S134">
            <v>15220</v>
          </cell>
          <cell r="T134">
            <v>15061</v>
          </cell>
        </row>
        <row r="135">
          <cell r="A135" t="str">
            <v>PCs</v>
          </cell>
          <cell r="B135" t="str">
            <v>Extension Speechline</v>
          </cell>
          <cell r="C135" t="str">
            <v>RSS</v>
          </cell>
          <cell r="D135" t="str">
            <v>Budget</v>
          </cell>
          <cell r="E135">
            <v>16599</v>
          </cell>
          <cell r="F135">
            <v>15478</v>
          </cell>
          <cell r="G135">
            <v>14233</v>
          </cell>
          <cell r="H135">
            <v>13112</v>
          </cell>
          <cell r="I135">
            <v>11991</v>
          </cell>
          <cell r="J135">
            <v>10932</v>
          </cell>
          <cell r="K135">
            <v>10122</v>
          </cell>
          <cell r="L135">
            <v>9437</v>
          </cell>
          <cell r="M135">
            <v>8627</v>
          </cell>
          <cell r="N135">
            <v>7817</v>
          </cell>
          <cell r="O135">
            <v>6634</v>
          </cell>
          <cell r="P135">
            <v>5266</v>
          </cell>
          <cell r="Q135">
            <v>15598.746999999999</v>
          </cell>
          <cell r="R135">
            <v>15251.743</v>
          </cell>
          <cell r="S135">
            <v>14828.19</v>
          </cell>
          <cell r="T135">
            <v>14460.78</v>
          </cell>
        </row>
        <row r="136">
          <cell r="A136" t="str">
            <v>PCs</v>
          </cell>
          <cell r="B136" t="str">
            <v>Extension Speechline</v>
          </cell>
          <cell r="C136" t="str">
            <v>Supply</v>
          </cell>
          <cell r="D136" t="str">
            <v>Actual</v>
          </cell>
          <cell r="E136">
            <v>18</v>
          </cell>
          <cell r="F136">
            <v>0</v>
          </cell>
          <cell r="G136">
            <v>4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A137" t="str">
            <v>PCs</v>
          </cell>
          <cell r="B137" t="str">
            <v>Extension Speechline</v>
          </cell>
          <cell r="C137" t="str">
            <v>Supply</v>
          </cell>
          <cell r="D137" t="str">
            <v>Budget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A138" t="str">
            <v>PCs</v>
          </cell>
          <cell r="B138" t="str">
            <v>Extension Speechline</v>
          </cell>
          <cell r="C138" t="str">
            <v>WSS</v>
          </cell>
          <cell r="D138" t="str">
            <v>Actual</v>
          </cell>
          <cell r="E138">
            <v>19949</v>
          </cell>
          <cell r="F138">
            <v>19674</v>
          </cell>
          <cell r="G138">
            <v>19278</v>
          </cell>
          <cell r="H138">
            <v>18946</v>
          </cell>
          <cell r="I138">
            <v>18714</v>
          </cell>
          <cell r="J138">
            <v>18469</v>
          </cell>
          <cell r="K138">
            <v>18212</v>
          </cell>
          <cell r="L138">
            <v>18062</v>
          </cell>
          <cell r="M138">
            <v>17758</v>
          </cell>
          <cell r="N138">
            <v>17466</v>
          </cell>
          <cell r="O138">
            <v>17063</v>
          </cell>
          <cell r="P138">
            <v>16735</v>
          </cell>
          <cell r="Q138">
            <v>16589</v>
          </cell>
          <cell r="R138">
            <v>16440</v>
          </cell>
          <cell r="S138">
            <v>0</v>
          </cell>
          <cell r="T138">
            <v>16115</v>
          </cell>
        </row>
        <row r="139">
          <cell r="A139" t="str">
            <v>PCs</v>
          </cell>
          <cell r="B139" t="str">
            <v>Extension Speechline</v>
          </cell>
          <cell r="C139" t="str">
            <v>WSS</v>
          </cell>
          <cell r="D139" t="str">
            <v>Budget</v>
          </cell>
          <cell r="E139">
            <v>18678</v>
          </cell>
          <cell r="F139">
            <v>17433</v>
          </cell>
          <cell r="G139">
            <v>16188</v>
          </cell>
          <cell r="H139">
            <v>14804</v>
          </cell>
          <cell r="I139">
            <v>13559</v>
          </cell>
          <cell r="J139">
            <v>12244</v>
          </cell>
          <cell r="K139">
            <v>10999</v>
          </cell>
          <cell r="L139">
            <v>10030</v>
          </cell>
          <cell r="M139">
            <v>9200</v>
          </cell>
          <cell r="N139">
            <v>8301</v>
          </cell>
          <cell r="O139">
            <v>7471</v>
          </cell>
          <cell r="P139">
            <v>6224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A140" t="str">
            <v>PCs</v>
          </cell>
          <cell r="B140" t="str">
            <v>FBS</v>
          </cell>
          <cell r="C140" t="str">
            <v>Cessations</v>
          </cell>
          <cell r="D140" t="str">
            <v>Actual</v>
          </cell>
          <cell r="E140">
            <v>82</v>
          </cell>
          <cell r="F140">
            <v>116</v>
          </cell>
          <cell r="G140">
            <v>110</v>
          </cell>
          <cell r="H140">
            <v>54</v>
          </cell>
          <cell r="I140">
            <v>50</v>
          </cell>
          <cell r="J140">
            <v>21</v>
          </cell>
          <cell r="K140">
            <v>100</v>
          </cell>
          <cell r="L140">
            <v>33</v>
          </cell>
          <cell r="M140">
            <v>107</v>
          </cell>
          <cell r="N140">
            <v>13</v>
          </cell>
          <cell r="O140">
            <v>13</v>
          </cell>
          <cell r="P140">
            <v>49</v>
          </cell>
          <cell r="Q140">
            <v>17</v>
          </cell>
          <cell r="R140">
            <v>231</v>
          </cell>
          <cell r="S140">
            <v>31</v>
          </cell>
          <cell r="T140">
            <v>25</v>
          </cell>
        </row>
        <row r="141">
          <cell r="A141" t="str">
            <v>PCs</v>
          </cell>
          <cell r="B141" t="str">
            <v>FBS</v>
          </cell>
          <cell r="C141" t="str">
            <v>Cessations</v>
          </cell>
          <cell r="D141" t="str">
            <v>Budget</v>
          </cell>
          <cell r="E141">
            <v>63</v>
          </cell>
          <cell r="F141">
            <v>63</v>
          </cell>
          <cell r="G141">
            <v>70</v>
          </cell>
          <cell r="H141">
            <v>63</v>
          </cell>
          <cell r="I141">
            <v>63</v>
          </cell>
          <cell r="J141">
            <v>60</v>
          </cell>
          <cell r="K141">
            <v>47</v>
          </cell>
          <cell r="L141">
            <v>38</v>
          </cell>
          <cell r="M141">
            <v>38</v>
          </cell>
          <cell r="N141">
            <v>47</v>
          </cell>
          <cell r="O141">
            <v>66</v>
          </cell>
          <cell r="P141">
            <v>77</v>
          </cell>
          <cell r="Q141">
            <v>63</v>
          </cell>
          <cell r="R141">
            <v>77</v>
          </cell>
          <cell r="S141">
            <v>56</v>
          </cell>
          <cell r="T141">
            <v>63</v>
          </cell>
        </row>
        <row r="142">
          <cell r="A142" t="str">
            <v>PCs</v>
          </cell>
          <cell r="B142" t="str">
            <v>FBS</v>
          </cell>
          <cell r="C142" t="str">
            <v>Demand</v>
          </cell>
          <cell r="D142" t="str">
            <v>Actual</v>
          </cell>
          <cell r="E142">
            <v>29</v>
          </cell>
          <cell r="F142">
            <v>155</v>
          </cell>
          <cell r="G142">
            <v>118</v>
          </cell>
          <cell r="H142">
            <v>34</v>
          </cell>
          <cell r="I142">
            <v>10</v>
          </cell>
          <cell r="J142">
            <v>14</v>
          </cell>
          <cell r="K142">
            <v>6</v>
          </cell>
          <cell r="L142">
            <v>10</v>
          </cell>
          <cell r="M142">
            <v>2</v>
          </cell>
          <cell r="N142">
            <v>1</v>
          </cell>
          <cell r="O142">
            <v>2</v>
          </cell>
          <cell r="P142">
            <v>0</v>
          </cell>
          <cell r="Q142">
            <v>12</v>
          </cell>
          <cell r="R142">
            <v>3</v>
          </cell>
          <cell r="S142">
            <v>0</v>
          </cell>
          <cell r="T142">
            <v>0</v>
          </cell>
        </row>
        <row r="143">
          <cell r="A143" t="str">
            <v>PCs</v>
          </cell>
          <cell r="B143" t="str">
            <v>FBS</v>
          </cell>
          <cell r="C143" t="str">
            <v>Demand</v>
          </cell>
          <cell r="D143" t="str">
            <v>Budget</v>
          </cell>
          <cell r="E143">
            <v>88</v>
          </cell>
          <cell r="F143">
            <v>88</v>
          </cell>
          <cell r="G143">
            <v>98</v>
          </cell>
          <cell r="H143">
            <v>88</v>
          </cell>
          <cell r="I143">
            <v>88</v>
          </cell>
          <cell r="J143">
            <v>83</v>
          </cell>
          <cell r="K143">
            <v>63</v>
          </cell>
          <cell r="L143">
            <v>53</v>
          </cell>
          <cell r="M143">
            <v>62</v>
          </cell>
          <cell r="N143">
            <v>63</v>
          </cell>
          <cell r="O143">
            <v>92</v>
          </cell>
          <cell r="P143">
            <v>108</v>
          </cell>
          <cell r="Q143">
            <v>88</v>
          </cell>
          <cell r="R143">
            <v>107</v>
          </cell>
          <cell r="S143">
            <v>79</v>
          </cell>
          <cell r="T143">
            <v>88</v>
          </cell>
        </row>
        <row r="144">
          <cell r="A144" t="str">
            <v>PCs</v>
          </cell>
          <cell r="B144" t="str">
            <v>FBS</v>
          </cell>
          <cell r="C144" t="str">
            <v>OIH</v>
          </cell>
          <cell r="D144" t="str">
            <v>Actual</v>
          </cell>
          <cell r="E144">
            <v>77</v>
          </cell>
          <cell r="F144">
            <v>140</v>
          </cell>
          <cell r="G144">
            <v>391</v>
          </cell>
          <cell r="H144">
            <v>109</v>
          </cell>
          <cell r="I144">
            <v>84</v>
          </cell>
          <cell r="J144">
            <v>145</v>
          </cell>
          <cell r="K144">
            <v>152</v>
          </cell>
          <cell r="L144">
            <v>119</v>
          </cell>
          <cell r="M144">
            <v>163</v>
          </cell>
          <cell r="N144">
            <v>116</v>
          </cell>
          <cell r="O144">
            <v>192</v>
          </cell>
          <cell r="P144">
            <v>117</v>
          </cell>
          <cell r="Q144">
            <v>125</v>
          </cell>
          <cell r="R144">
            <v>119</v>
          </cell>
          <cell r="S144">
            <v>120</v>
          </cell>
          <cell r="T144">
            <v>117</v>
          </cell>
        </row>
        <row r="145">
          <cell r="A145" t="str">
            <v>PCs</v>
          </cell>
          <cell r="B145" t="str">
            <v>FBS</v>
          </cell>
          <cell r="C145" t="str">
            <v>RSS</v>
          </cell>
          <cell r="D145" t="str">
            <v>Actual</v>
          </cell>
          <cell r="E145">
            <v>8590</v>
          </cell>
          <cell r="F145">
            <v>8527</v>
          </cell>
          <cell r="G145">
            <v>8487</v>
          </cell>
          <cell r="H145">
            <v>9055</v>
          </cell>
          <cell r="I145">
            <v>9039</v>
          </cell>
          <cell r="J145">
            <v>8955</v>
          </cell>
          <cell r="K145">
            <v>9118</v>
          </cell>
          <cell r="L145">
            <v>8716</v>
          </cell>
          <cell r="M145">
            <v>8703</v>
          </cell>
          <cell r="N145">
            <v>8423</v>
          </cell>
          <cell r="O145">
            <v>8199</v>
          </cell>
          <cell r="P145">
            <v>8997</v>
          </cell>
          <cell r="Q145">
            <v>7913</v>
          </cell>
          <cell r="R145">
            <v>8245</v>
          </cell>
          <cell r="S145">
            <v>8275</v>
          </cell>
          <cell r="T145">
            <v>8246</v>
          </cell>
        </row>
        <row r="146">
          <cell r="A146" t="str">
            <v>PCs</v>
          </cell>
          <cell r="B146" t="str">
            <v>FBS</v>
          </cell>
          <cell r="C146" t="str">
            <v>RSS</v>
          </cell>
          <cell r="D146" t="str">
            <v>Budget</v>
          </cell>
          <cell r="E146">
            <v>8615.81</v>
          </cell>
          <cell r="F146">
            <v>8640.81</v>
          </cell>
          <cell r="G146">
            <v>8668.81</v>
          </cell>
          <cell r="H146">
            <v>8693.81</v>
          </cell>
          <cell r="I146">
            <v>8718.81</v>
          </cell>
          <cell r="J146">
            <v>8741.81</v>
          </cell>
          <cell r="K146">
            <v>8757.81</v>
          </cell>
          <cell r="L146">
            <v>8772.81</v>
          </cell>
          <cell r="M146">
            <v>8796.81</v>
          </cell>
          <cell r="N146">
            <v>8812.81</v>
          </cell>
          <cell r="O146">
            <v>8838.81</v>
          </cell>
          <cell r="P146">
            <v>8869.81</v>
          </cell>
          <cell r="Q146">
            <v>8615.8083333333307</v>
          </cell>
          <cell r="R146">
            <v>8979.8083333333307</v>
          </cell>
          <cell r="S146">
            <v>9002.81</v>
          </cell>
          <cell r="T146">
            <v>9027.81</v>
          </cell>
        </row>
        <row r="147">
          <cell r="A147" t="str">
            <v>PCs</v>
          </cell>
          <cell r="B147" t="str">
            <v>FBS</v>
          </cell>
          <cell r="C147" t="str">
            <v>Supply</v>
          </cell>
          <cell r="D147" t="str">
            <v>Actual</v>
          </cell>
          <cell r="E147">
            <v>135</v>
          </cell>
          <cell r="F147">
            <v>21</v>
          </cell>
          <cell r="G147">
            <v>30</v>
          </cell>
          <cell r="H147">
            <v>666</v>
          </cell>
          <cell r="I147">
            <v>25</v>
          </cell>
          <cell r="J147">
            <v>17</v>
          </cell>
          <cell r="K147">
            <v>5</v>
          </cell>
          <cell r="L147">
            <v>3</v>
          </cell>
          <cell r="M147">
            <v>5</v>
          </cell>
          <cell r="N147">
            <v>6</v>
          </cell>
          <cell r="O147">
            <v>10</v>
          </cell>
          <cell r="P147">
            <v>2</v>
          </cell>
          <cell r="Q147">
            <v>36</v>
          </cell>
          <cell r="R147">
            <v>3</v>
          </cell>
          <cell r="S147">
            <v>0</v>
          </cell>
          <cell r="T147">
            <v>4</v>
          </cell>
        </row>
        <row r="148">
          <cell r="A148" t="str">
            <v>PCs</v>
          </cell>
          <cell r="B148" t="str">
            <v>FBS</v>
          </cell>
          <cell r="C148" t="str">
            <v>Supply</v>
          </cell>
          <cell r="D148" t="str">
            <v>Budget</v>
          </cell>
          <cell r="E148">
            <v>88</v>
          </cell>
          <cell r="F148">
            <v>88</v>
          </cell>
          <cell r="G148">
            <v>98</v>
          </cell>
          <cell r="H148">
            <v>88</v>
          </cell>
          <cell r="I148">
            <v>88</v>
          </cell>
          <cell r="J148">
            <v>83</v>
          </cell>
          <cell r="K148">
            <v>63</v>
          </cell>
          <cell r="L148">
            <v>53</v>
          </cell>
          <cell r="M148">
            <v>62</v>
          </cell>
          <cell r="N148">
            <v>63</v>
          </cell>
          <cell r="O148">
            <v>92</v>
          </cell>
          <cell r="P148">
            <v>108</v>
          </cell>
          <cell r="Q148">
            <v>88</v>
          </cell>
          <cell r="R148">
            <v>107</v>
          </cell>
          <cell r="S148">
            <v>79</v>
          </cell>
          <cell r="T148">
            <v>88</v>
          </cell>
        </row>
        <row r="149">
          <cell r="A149" t="str">
            <v>PCs</v>
          </cell>
          <cell r="B149" t="str">
            <v>FBS</v>
          </cell>
          <cell r="C149" t="str">
            <v>WSS</v>
          </cell>
          <cell r="D149" t="str">
            <v>Actual</v>
          </cell>
          <cell r="E149">
            <v>8708</v>
          </cell>
          <cell r="F149">
            <v>8655</v>
          </cell>
          <cell r="G149">
            <v>8636</v>
          </cell>
          <cell r="H149">
            <v>9224</v>
          </cell>
          <cell r="I149">
            <v>9171</v>
          </cell>
          <cell r="J149">
            <v>9125</v>
          </cell>
          <cell r="K149">
            <v>9118</v>
          </cell>
          <cell r="L149">
            <v>9076</v>
          </cell>
          <cell r="M149">
            <v>9065</v>
          </cell>
          <cell r="N149">
            <v>9051</v>
          </cell>
          <cell r="O149">
            <v>9036</v>
          </cell>
          <cell r="P149">
            <v>8997</v>
          </cell>
          <cell r="Q149">
            <v>9016</v>
          </cell>
          <cell r="R149">
            <v>8788</v>
          </cell>
          <cell r="S149">
            <v>8749</v>
          </cell>
          <cell r="T149">
            <v>8752</v>
          </cell>
        </row>
        <row r="150">
          <cell r="A150" t="str">
            <v>PCs</v>
          </cell>
          <cell r="B150" t="str">
            <v>FBS</v>
          </cell>
          <cell r="C150" t="str">
            <v>WSS</v>
          </cell>
          <cell r="D150" t="str">
            <v>Budget</v>
          </cell>
          <cell r="E150">
            <v>8688</v>
          </cell>
          <cell r="F150">
            <v>8713</v>
          </cell>
          <cell r="G150">
            <v>8741</v>
          </cell>
          <cell r="H150">
            <v>8766</v>
          </cell>
          <cell r="I150">
            <v>8791</v>
          </cell>
          <cell r="J150">
            <v>8814</v>
          </cell>
          <cell r="K150">
            <v>8830</v>
          </cell>
          <cell r="L150">
            <v>8845</v>
          </cell>
          <cell r="M150">
            <v>8869</v>
          </cell>
          <cell r="N150">
            <v>8885</v>
          </cell>
          <cell r="O150">
            <v>8911</v>
          </cell>
          <cell r="P150">
            <v>8942</v>
          </cell>
          <cell r="Q150">
            <v>9022</v>
          </cell>
          <cell r="R150">
            <v>9052</v>
          </cell>
          <cell r="S150">
            <v>9075</v>
          </cell>
          <cell r="T150">
            <v>9100</v>
          </cell>
        </row>
        <row r="151">
          <cell r="A151" t="str">
            <v>PCs</v>
          </cell>
          <cell r="B151" t="str">
            <v>KiloStreamNx</v>
          </cell>
          <cell r="C151" t="str">
            <v>Cessations</v>
          </cell>
          <cell r="D151" t="str">
            <v>Actual</v>
          </cell>
          <cell r="E151">
            <v>209</v>
          </cell>
          <cell r="F151">
            <v>241</v>
          </cell>
          <cell r="G151">
            <v>361</v>
          </cell>
          <cell r="H151">
            <v>374</v>
          </cell>
          <cell r="I151">
            <v>220</v>
          </cell>
          <cell r="J151">
            <v>135</v>
          </cell>
          <cell r="K151">
            <v>150</v>
          </cell>
          <cell r="L151">
            <v>450</v>
          </cell>
          <cell r="M151">
            <v>475</v>
          </cell>
          <cell r="N151">
            <v>246</v>
          </cell>
          <cell r="O151">
            <v>302</v>
          </cell>
          <cell r="P151">
            <v>378</v>
          </cell>
          <cell r="Q151">
            <v>291</v>
          </cell>
          <cell r="R151">
            <v>286</v>
          </cell>
          <cell r="S151">
            <v>393</v>
          </cell>
          <cell r="T151">
            <v>418</v>
          </cell>
        </row>
        <row r="152">
          <cell r="A152" t="str">
            <v>PCs</v>
          </cell>
          <cell r="B152" t="str">
            <v>KiloStreamNx</v>
          </cell>
          <cell r="C152" t="str">
            <v>Cessations</v>
          </cell>
          <cell r="D152" t="str">
            <v>Budget</v>
          </cell>
          <cell r="E152">
            <v>234</v>
          </cell>
          <cell r="F152">
            <v>211</v>
          </cell>
          <cell r="G152">
            <v>211</v>
          </cell>
          <cell r="H152">
            <v>234</v>
          </cell>
          <cell r="I152">
            <v>211</v>
          </cell>
          <cell r="J152">
            <v>222</v>
          </cell>
          <cell r="K152">
            <v>211</v>
          </cell>
          <cell r="L152">
            <v>164</v>
          </cell>
          <cell r="M152">
            <v>140</v>
          </cell>
          <cell r="N152">
            <v>152</v>
          </cell>
          <cell r="O152">
            <v>140</v>
          </cell>
          <cell r="P152">
            <v>211</v>
          </cell>
          <cell r="Q152">
            <v>248.625</v>
          </cell>
          <cell r="R152">
            <v>0</v>
          </cell>
          <cell r="S152">
            <v>383.38</v>
          </cell>
          <cell r="T152">
            <v>332.57</v>
          </cell>
        </row>
        <row r="153">
          <cell r="A153" t="str">
            <v>PCs</v>
          </cell>
          <cell r="B153" t="str">
            <v>KiloStreamNx</v>
          </cell>
          <cell r="C153" t="str">
            <v>Demand</v>
          </cell>
          <cell r="D153" t="str">
            <v>Actual</v>
          </cell>
          <cell r="E153">
            <v>984</v>
          </cell>
          <cell r="F153">
            <v>1154</v>
          </cell>
          <cell r="G153">
            <v>1446</v>
          </cell>
          <cell r="H153">
            <v>1230</v>
          </cell>
          <cell r="I153">
            <v>1533</v>
          </cell>
          <cell r="J153">
            <v>1616</v>
          </cell>
          <cell r="K153">
            <v>1329</v>
          </cell>
          <cell r="L153">
            <v>1164</v>
          </cell>
          <cell r="M153">
            <v>1438</v>
          </cell>
          <cell r="N153">
            <v>953</v>
          </cell>
          <cell r="O153">
            <v>1152</v>
          </cell>
          <cell r="P153">
            <v>1562</v>
          </cell>
          <cell r="Q153">
            <v>1296</v>
          </cell>
          <cell r="R153">
            <v>780</v>
          </cell>
          <cell r="S153">
            <v>1162</v>
          </cell>
          <cell r="T153">
            <v>941</v>
          </cell>
        </row>
        <row r="154">
          <cell r="A154" t="str">
            <v>PCs</v>
          </cell>
          <cell r="B154" t="str">
            <v>KiloStreamNx</v>
          </cell>
          <cell r="C154" t="str">
            <v>Demand</v>
          </cell>
          <cell r="D154" t="str">
            <v>Budget</v>
          </cell>
          <cell r="E154">
            <v>1239</v>
          </cell>
          <cell r="F154">
            <v>1239</v>
          </cell>
          <cell r="G154">
            <v>1377</v>
          </cell>
          <cell r="H154">
            <v>1239</v>
          </cell>
          <cell r="I154">
            <v>1239</v>
          </cell>
          <cell r="J154">
            <v>1170</v>
          </cell>
          <cell r="K154">
            <v>895</v>
          </cell>
          <cell r="L154">
            <v>757</v>
          </cell>
          <cell r="M154">
            <v>895</v>
          </cell>
          <cell r="N154">
            <v>895</v>
          </cell>
          <cell r="O154">
            <v>1307</v>
          </cell>
          <cell r="P154">
            <v>1512</v>
          </cell>
          <cell r="Q154">
            <v>1239</v>
          </cell>
          <cell r="R154">
            <v>1239</v>
          </cell>
          <cell r="S154">
            <v>1179.28</v>
          </cell>
          <cell r="T154">
            <v>1077.22</v>
          </cell>
        </row>
        <row r="155">
          <cell r="A155" t="str">
            <v>PCs</v>
          </cell>
          <cell r="B155" t="str">
            <v>KiloStreamNx</v>
          </cell>
          <cell r="C155" t="str">
            <v>OIH</v>
          </cell>
          <cell r="D155" t="str">
            <v>Actual</v>
          </cell>
          <cell r="E155">
            <v>2994</v>
          </cell>
          <cell r="F155">
            <v>2897</v>
          </cell>
          <cell r="G155">
            <v>2928</v>
          </cell>
          <cell r="H155">
            <v>2938</v>
          </cell>
          <cell r="I155">
            <v>3181</v>
          </cell>
          <cell r="J155">
            <v>3411</v>
          </cell>
          <cell r="K155">
            <v>3236</v>
          </cell>
          <cell r="L155">
            <v>3156</v>
          </cell>
          <cell r="M155">
            <v>3004</v>
          </cell>
          <cell r="N155">
            <v>3206</v>
          </cell>
          <cell r="O155">
            <v>3180</v>
          </cell>
          <cell r="P155">
            <v>3262</v>
          </cell>
          <cell r="Q155">
            <v>3369</v>
          </cell>
          <cell r="R155">
            <v>3279</v>
          </cell>
          <cell r="S155">
            <v>3160</v>
          </cell>
          <cell r="T155">
            <v>3135</v>
          </cell>
        </row>
        <row r="156">
          <cell r="A156" t="str">
            <v>PCs</v>
          </cell>
          <cell r="B156" t="str">
            <v>KiloStreamNx</v>
          </cell>
          <cell r="C156" t="str">
            <v>OIH</v>
          </cell>
          <cell r="D156" t="str">
            <v>Budget</v>
          </cell>
          <cell r="E156">
            <v>2644</v>
          </cell>
          <cell r="F156">
            <v>2631</v>
          </cell>
          <cell r="G156">
            <v>2756</v>
          </cell>
          <cell r="H156">
            <v>2604</v>
          </cell>
          <cell r="I156">
            <v>2591</v>
          </cell>
          <cell r="J156">
            <v>2439</v>
          </cell>
          <cell r="K156">
            <v>2082</v>
          </cell>
          <cell r="L156">
            <v>1865</v>
          </cell>
          <cell r="M156">
            <v>1925</v>
          </cell>
          <cell r="N156">
            <v>1916</v>
          </cell>
          <cell r="O156">
            <v>2388</v>
          </cell>
          <cell r="P156">
            <v>2647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7">
          <cell r="A157" t="str">
            <v>PCs</v>
          </cell>
          <cell r="B157" t="str">
            <v>KiloStreamNx</v>
          </cell>
          <cell r="C157" t="str">
            <v>RSS</v>
          </cell>
          <cell r="D157" t="str">
            <v>Actual</v>
          </cell>
          <cell r="E157">
            <v>24981</v>
          </cell>
          <cell r="F157">
            <v>25944</v>
          </cell>
          <cell r="G157">
            <v>26984</v>
          </cell>
          <cell r="H157">
            <v>27874</v>
          </cell>
          <cell r="I157">
            <v>28784</v>
          </cell>
          <cell r="J157">
            <v>29820</v>
          </cell>
          <cell r="K157">
            <v>30976</v>
          </cell>
          <cell r="L157">
            <v>31752</v>
          </cell>
          <cell r="M157">
            <v>32832</v>
          </cell>
          <cell r="N157">
            <v>33369</v>
          </cell>
          <cell r="O157">
            <v>34135</v>
          </cell>
          <cell r="P157">
            <v>35210</v>
          </cell>
          <cell r="Q157">
            <v>30499</v>
          </cell>
          <cell r="R157">
            <v>31047</v>
          </cell>
          <cell r="S157">
            <v>31704</v>
          </cell>
          <cell r="T157">
            <v>32229</v>
          </cell>
        </row>
        <row r="158">
          <cell r="A158" t="str">
            <v>PCs</v>
          </cell>
          <cell r="B158" t="str">
            <v>KiloStreamNx</v>
          </cell>
          <cell r="C158" t="str">
            <v>RSS</v>
          </cell>
          <cell r="D158" t="str">
            <v>Budget</v>
          </cell>
          <cell r="E158">
            <v>23242</v>
          </cell>
          <cell r="F158">
            <v>24263</v>
          </cell>
          <cell r="G158">
            <v>25264</v>
          </cell>
          <cell r="H158">
            <v>26417</v>
          </cell>
          <cell r="I158">
            <v>27438</v>
          </cell>
          <cell r="J158">
            <v>28533</v>
          </cell>
          <cell r="K158">
            <v>29601</v>
          </cell>
          <cell r="L158">
            <v>30423</v>
          </cell>
          <cell r="M158">
            <v>31094</v>
          </cell>
          <cell r="N158">
            <v>31830</v>
          </cell>
          <cell r="O158">
            <v>32444</v>
          </cell>
          <cell r="P158">
            <v>33428</v>
          </cell>
          <cell r="Q158">
            <v>35487.542000000001</v>
          </cell>
          <cell r="R158">
            <v>35733.055999999997</v>
          </cell>
          <cell r="S158">
            <v>35979.040000000001</v>
          </cell>
          <cell r="T158">
            <v>36191</v>
          </cell>
        </row>
        <row r="159">
          <cell r="A159" t="str">
            <v>PCs</v>
          </cell>
          <cell r="B159" t="str">
            <v>KiloStreamNx</v>
          </cell>
          <cell r="C159" t="str">
            <v>Supply</v>
          </cell>
          <cell r="D159" t="str">
            <v>Actual</v>
          </cell>
          <cell r="E159">
            <v>1108</v>
          </cell>
          <cell r="F159">
            <v>1249</v>
          </cell>
          <cell r="G159">
            <v>1403</v>
          </cell>
          <cell r="H159">
            <v>1217</v>
          </cell>
          <cell r="I159">
            <v>1280</v>
          </cell>
          <cell r="J159">
            <v>1383</v>
          </cell>
          <cell r="K159">
            <v>1486</v>
          </cell>
          <cell r="L159">
            <v>1223</v>
          </cell>
          <cell r="M159">
            <v>1589</v>
          </cell>
          <cell r="N159">
            <v>749</v>
          </cell>
          <cell r="O159">
            <v>1173</v>
          </cell>
          <cell r="P159">
            <v>1475</v>
          </cell>
          <cell r="Q159">
            <v>1060</v>
          </cell>
          <cell r="R159">
            <v>995</v>
          </cell>
          <cell r="S159">
            <v>1274</v>
          </cell>
          <cell r="T159">
            <v>1027</v>
          </cell>
        </row>
        <row r="160">
          <cell r="A160" t="str">
            <v>PCs</v>
          </cell>
          <cell r="B160" t="str">
            <v>KiloStreamNx</v>
          </cell>
          <cell r="C160" t="str">
            <v>Supply</v>
          </cell>
          <cell r="D160" t="str">
            <v>Budget</v>
          </cell>
          <cell r="E160">
            <v>1391</v>
          </cell>
          <cell r="F160">
            <v>1252</v>
          </cell>
          <cell r="G160">
            <v>1252</v>
          </cell>
          <cell r="H160">
            <v>1391</v>
          </cell>
          <cell r="I160">
            <v>1252</v>
          </cell>
          <cell r="J160">
            <v>1322</v>
          </cell>
          <cell r="K160">
            <v>1252</v>
          </cell>
          <cell r="L160">
            <v>974</v>
          </cell>
          <cell r="M160">
            <v>835</v>
          </cell>
          <cell r="N160">
            <v>904</v>
          </cell>
          <cell r="O160">
            <v>835</v>
          </cell>
          <cell r="P160">
            <v>1253</v>
          </cell>
          <cell r="Q160">
            <v>1008</v>
          </cell>
          <cell r="R160">
            <v>1011</v>
          </cell>
          <cell r="S160">
            <v>1222</v>
          </cell>
          <cell r="T160">
            <v>1002</v>
          </cell>
        </row>
        <row r="161">
          <cell r="A161" t="str">
            <v>PCs</v>
          </cell>
          <cell r="B161" t="str">
            <v>KiloStreamNx</v>
          </cell>
          <cell r="C161" t="str">
            <v>WSS</v>
          </cell>
          <cell r="D161" t="str">
            <v>Actual</v>
          </cell>
          <cell r="E161">
            <v>26032</v>
          </cell>
          <cell r="F161">
            <v>26966</v>
          </cell>
          <cell r="G161">
            <v>27940</v>
          </cell>
          <cell r="H161">
            <v>28732</v>
          </cell>
          <cell r="I161">
            <v>29735</v>
          </cell>
          <cell r="J161">
            <v>30914</v>
          </cell>
          <cell r="K161">
            <v>32201</v>
          </cell>
          <cell r="L161">
            <v>32911</v>
          </cell>
          <cell r="M161">
            <v>33945</v>
          </cell>
          <cell r="N161">
            <v>34411</v>
          </cell>
          <cell r="O161">
            <v>35194</v>
          </cell>
          <cell r="P161">
            <v>36225</v>
          </cell>
          <cell r="Q161">
            <v>31683</v>
          </cell>
          <cell r="R161">
            <v>32411</v>
          </cell>
          <cell r="S161">
            <v>33266</v>
          </cell>
          <cell r="T161">
            <v>34032</v>
          </cell>
        </row>
        <row r="162">
          <cell r="A162" t="str">
            <v>PCs</v>
          </cell>
          <cell r="B162" t="str">
            <v>KiloStreamNx</v>
          </cell>
          <cell r="C162" t="str">
            <v>WSS</v>
          </cell>
          <cell r="D162" t="str">
            <v>Budget</v>
          </cell>
          <cell r="E162">
            <v>23920</v>
          </cell>
          <cell r="F162">
            <v>24900</v>
          </cell>
          <cell r="G162">
            <v>25879</v>
          </cell>
          <cell r="H162">
            <v>26968</v>
          </cell>
          <cell r="I162">
            <v>27948</v>
          </cell>
          <cell r="J162">
            <v>28982</v>
          </cell>
          <cell r="K162">
            <v>29962</v>
          </cell>
          <cell r="L162">
            <v>30724</v>
          </cell>
          <cell r="M162">
            <v>31378</v>
          </cell>
          <cell r="N162">
            <v>32085</v>
          </cell>
          <cell r="O162">
            <v>32739</v>
          </cell>
          <cell r="P162">
            <v>33719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A163" t="str">
            <v>PCs</v>
          </cell>
          <cell r="B163" t="str">
            <v>MegaStream</v>
          </cell>
          <cell r="C163" t="str">
            <v>Cessations</v>
          </cell>
          <cell r="D163" t="str">
            <v>Actual</v>
          </cell>
          <cell r="E163">
            <v>273</v>
          </cell>
          <cell r="F163">
            <v>197</v>
          </cell>
          <cell r="G163">
            <v>257</v>
          </cell>
          <cell r="H163">
            <v>242</v>
          </cell>
          <cell r="I163">
            <v>187</v>
          </cell>
          <cell r="J163">
            <v>132</v>
          </cell>
          <cell r="K163">
            <v>215</v>
          </cell>
          <cell r="L163">
            <v>148</v>
          </cell>
          <cell r="M163">
            <v>268</v>
          </cell>
          <cell r="N163">
            <v>288</v>
          </cell>
          <cell r="O163">
            <v>722</v>
          </cell>
          <cell r="P163">
            <v>566</v>
          </cell>
          <cell r="Q163">
            <v>227</v>
          </cell>
          <cell r="R163">
            <v>163</v>
          </cell>
          <cell r="S163">
            <v>288</v>
          </cell>
          <cell r="T163">
            <v>237</v>
          </cell>
        </row>
        <row r="164">
          <cell r="A164" t="str">
            <v>PCs</v>
          </cell>
          <cell r="B164" t="str">
            <v>MegaStream</v>
          </cell>
          <cell r="C164" t="str">
            <v>Cessations</v>
          </cell>
          <cell r="D164" t="str">
            <v>Budget</v>
          </cell>
          <cell r="E164">
            <v>251</v>
          </cell>
          <cell r="F164">
            <v>228</v>
          </cell>
          <cell r="G164">
            <v>233</v>
          </cell>
          <cell r="H164">
            <v>253</v>
          </cell>
          <cell r="I164">
            <v>229</v>
          </cell>
          <cell r="J164">
            <v>243</v>
          </cell>
          <cell r="K164">
            <v>230</v>
          </cell>
          <cell r="L164">
            <v>179</v>
          </cell>
          <cell r="M164">
            <v>155</v>
          </cell>
          <cell r="N164">
            <v>169</v>
          </cell>
          <cell r="O164">
            <v>161</v>
          </cell>
          <cell r="P164">
            <v>238</v>
          </cell>
          <cell r="Q164">
            <v>303.95999999999998</v>
          </cell>
          <cell r="R164">
            <v>0</v>
          </cell>
          <cell r="S164">
            <v>381.12</v>
          </cell>
          <cell r="T164">
            <v>363.68</v>
          </cell>
        </row>
        <row r="165">
          <cell r="A165" t="str">
            <v>PCs</v>
          </cell>
          <cell r="B165" t="str">
            <v>MegaStream</v>
          </cell>
          <cell r="C165" t="str">
            <v>Demand</v>
          </cell>
          <cell r="D165" t="str">
            <v>Actual</v>
          </cell>
          <cell r="E165">
            <v>682</v>
          </cell>
          <cell r="F165">
            <v>642</v>
          </cell>
          <cell r="G165">
            <v>905</v>
          </cell>
          <cell r="H165">
            <v>909</v>
          </cell>
          <cell r="I165">
            <v>829</v>
          </cell>
          <cell r="J165">
            <v>846</v>
          </cell>
          <cell r="K165">
            <v>722</v>
          </cell>
          <cell r="L165">
            <v>495</v>
          </cell>
          <cell r="M165">
            <v>749</v>
          </cell>
          <cell r="N165">
            <v>909</v>
          </cell>
          <cell r="O165">
            <v>603</v>
          </cell>
          <cell r="P165">
            <v>893</v>
          </cell>
          <cell r="Q165">
            <v>784</v>
          </cell>
          <cell r="R165">
            <v>678</v>
          </cell>
          <cell r="S165">
            <v>1233</v>
          </cell>
          <cell r="T165">
            <v>665</v>
          </cell>
        </row>
        <row r="166">
          <cell r="A166" t="str">
            <v>PCs</v>
          </cell>
          <cell r="B166" t="str">
            <v>MegaStream</v>
          </cell>
          <cell r="C166" t="str">
            <v>Demand</v>
          </cell>
          <cell r="D166" t="str">
            <v>Budget</v>
          </cell>
          <cell r="E166">
            <v>709</v>
          </cell>
          <cell r="F166">
            <v>708</v>
          </cell>
          <cell r="G166">
            <v>789</v>
          </cell>
          <cell r="H166">
            <v>706</v>
          </cell>
          <cell r="I166">
            <v>708</v>
          </cell>
          <cell r="J166">
            <v>665</v>
          </cell>
          <cell r="K166">
            <v>507</v>
          </cell>
          <cell r="L166">
            <v>428</v>
          </cell>
          <cell r="M166">
            <v>506</v>
          </cell>
          <cell r="N166">
            <v>509</v>
          </cell>
          <cell r="O166">
            <v>744</v>
          </cell>
          <cell r="P166">
            <v>858</v>
          </cell>
          <cell r="Q166">
            <v>709</v>
          </cell>
          <cell r="R166">
            <v>708</v>
          </cell>
          <cell r="S166">
            <v>866.24</v>
          </cell>
          <cell r="T166">
            <v>786.61</v>
          </cell>
        </row>
        <row r="167">
          <cell r="A167" t="str">
            <v>PCs</v>
          </cell>
          <cell r="B167" t="str">
            <v>MegaStream</v>
          </cell>
          <cell r="C167" t="str">
            <v>OIH</v>
          </cell>
          <cell r="D167" t="str">
            <v>Actual</v>
          </cell>
          <cell r="E167">
            <v>2215</v>
          </cell>
          <cell r="F167">
            <v>2103</v>
          </cell>
          <cell r="G167">
            <v>1979</v>
          </cell>
          <cell r="H167">
            <v>2372</v>
          </cell>
          <cell r="I167">
            <v>2285</v>
          </cell>
          <cell r="J167">
            <v>2045</v>
          </cell>
          <cell r="K167">
            <v>1912</v>
          </cell>
          <cell r="L167">
            <v>1392</v>
          </cell>
          <cell r="M167">
            <v>1324</v>
          </cell>
          <cell r="N167">
            <v>1186</v>
          </cell>
          <cell r="O167">
            <v>1231</v>
          </cell>
          <cell r="P167">
            <v>1296</v>
          </cell>
          <cell r="Q167">
            <v>2180</v>
          </cell>
          <cell r="R167">
            <v>1869</v>
          </cell>
          <cell r="S167">
            <v>2097</v>
          </cell>
          <cell r="T167">
            <v>1975</v>
          </cell>
        </row>
        <row r="168">
          <cell r="A168" t="str">
            <v>PCs</v>
          </cell>
          <cell r="B168" t="str">
            <v>MegaStream</v>
          </cell>
          <cell r="C168" t="str">
            <v>OIH</v>
          </cell>
          <cell r="D168" t="str">
            <v>Budget</v>
          </cell>
          <cell r="E168">
            <v>1867</v>
          </cell>
          <cell r="F168">
            <v>1820</v>
          </cell>
          <cell r="G168">
            <v>1843</v>
          </cell>
          <cell r="H168">
            <v>1711</v>
          </cell>
          <cell r="I168">
            <v>1661</v>
          </cell>
          <cell r="J168">
            <v>1529</v>
          </cell>
          <cell r="K168">
            <v>1289</v>
          </cell>
          <cell r="L168">
            <v>1137</v>
          </cell>
          <cell r="M168">
            <v>1140</v>
          </cell>
          <cell r="N168">
            <v>1104</v>
          </cell>
          <cell r="O168">
            <v>1332</v>
          </cell>
          <cell r="P168">
            <v>1425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</row>
        <row r="169">
          <cell r="A169" t="str">
            <v>PCs</v>
          </cell>
          <cell r="B169" t="str">
            <v>MegaStream</v>
          </cell>
          <cell r="C169" t="str">
            <v>RSS</v>
          </cell>
          <cell r="D169" t="str">
            <v>Actual</v>
          </cell>
          <cell r="E169">
            <v>27894</v>
          </cell>
          <cell r="F169">
            <v>28368</v>
          </cell>
          <cell r="G169">
            <v>28991</v>
          </cell>
          <cell r="H169">
            <v>29222</v>
          </cell>
          <cell r="I169">
            <v>29761</v>
          </cell>
          <cell r="J169">
            <v>30282</v>
          </cell>
          <cell r="K169">
            <v>30554</v>
          </cell>
          <cell r="L169">
            <v>30955</v>
          </cell>
          <cell r="M169">
            <v>31271</v>
          </cell>
          <cell r="N169">
            <v>31749</v>
          </cell>
          <cell r="O169">
            <v>32419</v>
          </cell>
          <cell r="P169">
            <v>32782</v>
          </cell>
          <cell r="Q169">
            <v>33107</v>
          </cell>
          <cell r="R169">
            <v>33489</v>
          </cell>
          <cell r="S169">
            <v>34062</v>
          </cell>
          <cell r="T169">
            <v>34532</v>
          </cell>
        </row>
        <row r="170">
          <cell r="A170" t="str">
            <v>PCs</v>
          </cell>
          <cell r="B170" t="str">
            <v>MegaStream</v>
          </cell>
          <cell r="C170" t="str">
            <v>RSS</v>
          </cell>
          <cell r="D170" t="str">
            <v>Budget</v>
          </cell>
          <cell r="E170">
            <v>28890</v>
          </cell>
          <cell r="F170">
            <v>29414</v>
          </cell>
          <cell r="G170">
            <v>29913</v>
          </cell>
          <cell r="H170">
            <v>30520</v>
          </cell>
          <cell r="I170">
            <v>31044</v>
          </cell>
          <cell r="J170">
            <v>31618</v>
          </cell>
          <cell r="K170">
            <v>32186</v>
          </cell>
          <cell r="L170">
            <v>32618</v>
          </cell>
          <cell r="M170">
            <v>32954</v>
          </cell>
          <cell r="N170">
            <v>33325</v>
          </cell>
          <cell r="O170">
            <v>33602</v>
          </cell>
          <cell r="P170">
            <v>34082</v>
          </cell>
          <cell r="Q170">
            <v>33093</v>
          </cell>
          <cell r="R170">
            <v>33795.962930769201</v>
          </cell>
          <cell r="S170">
            <v>34586.35</v>
          </cell>
          <cell r="T170">
            <v>35119.089999999997</v>
          </cell>
        </row>
        <row r="171">
          <cell r="A171" t="str">
            <v>PCs</v>
          </cell>
          <cell r="B171" t="str">
            <v>MegaStream</v>
          </cell>
          <cell r="C171" t="str">
            <v>Supply</v>
          </cell>
          <cell r="D171" t="str">
            <v>Actual</v>
          </cell>
          <cell r="E171">
            <v>635</v>
          </cell>
          <cell r="F171">
            <v>746</v>
          </cell>
          <cell r="G171">
            <v>899</v>
          </cell>
          <cell r="H171">
            <v>558</v>
          </cell>
          <cell r="I171">
            <v>894</v>
          </cell>
          <cell r="J171">
            <v>1089</v>
          </cell>
          <cell r="K171">
            <v>833</v>
          </cell>
          <cell r="L171">
            <v>819</v>
          </cell>
          <cell r="M171">
            <v>726</v>
          </cell>
          <cell r="N171">
            <v>1039</v>
          </cell>
          <cell r="O171">
            <v>726</v>
          </cell>
          <cell r="P171">
            <v>832</v>
          </cell>
          <cell r="Q171">
            <v>549</v>
          </cell>
          <cell r="R171">
            <v>820</v>
          </cell>
          <cell r="S171">
            <v>1037</v>
          </cell>
          <cell r="T171">
            <v>787</v>
          </cell>
        </row>
        <row r="172">
          <cell r="A172" t="str">
            <v>PCs</v>
          </cell>
          <cell r="B172" t="str">
            <v>MegaStream</v>
          </cell>
          <cell r="C172" t="str">
            <v>Supply</v>
          </cell>
          <cell r="D172" t="str">
            <v>Budget</v>
          </cell>
          <cell r="E172">
            <v>841</v>
          </cell>
          <cell r="F172">
            <v>757</v>
          </cell>
          <cell r="G172">
            <v>762</v>
          </cell>
          <cell r="H172">
            <v>846</v>
          </cell>
          <cell r="I172">
            <v>761</v>
          </cell>
          <cell r="J172">
            <v>802</v>
          </cell>
          <cell r="K172">
            <v>751</v>
          </cell>
          <cell r="L172">
            <v>583</v>
          </cell>
          <cell r="M172">
            <v>503</v>
          </cell>
          <cell r="N172">
            <v>543</v>
          </cell>
          <cell r="O172">
            <v>513</v>
          </cell>
          <cell r="P172">
            <v>766</v>
          </cell>
          <cell r="Q172">
            <v>638</v>
          </cell>
          <cell r="R172">
            <v>670</v>
          </cell>
          <cell r="S172">
            <v>959.95</v>
          </cell>
          <cell r="T172">
            <v>696</v>
          </cell>
        </row>
        <row r="173">
          <cell r="A173" t="str">
            <v>PCs</v>
          </cell>
          <cell r="B173" t="str">
            <v>MegaStream</v>
          </cell>
          <cell r="C173" t="str">
            <v>WSS</v>
          </cell>
          <cell r="D173" t="str">
            <v>Actual</v>
          </cell>
          <cell r="E173">
            <v>30391</v>
          </cell>
          <cell r="F173">
            <v>30871</v>
          </cell>
          <cell r="G173">
            <v>31376</v>
          </cell>
          <cell r="H173">
            <v>31610</v>
          </cell>
          <cell r="I173">
            <v>32205</v>
          </cell>
          <cell r="J173">
            <v>32908</v>
          </cell>
          <cell r="K173">
            <v>33440</v>
          </cell>
          <cell r="L173">
            <v>33982</v>
          </cell>
          <cell r="M173">
            <v>34326</v>
          </cell>
          <cell r="N173">
            <v>35018</v>
          </cell>
          <cell r="O173">
            <v>34899</v>
          </cell>
          <cell r="P173">
            <v>34987</v>
          </cell>
          <cell r="Q173">
            <v>34987</v>
          </cell>
          <cell r="R173">
            <v>35444</v>
          </cell>
          <cell r="S173">
            <v>36019</v>
          </cell>
          <cell r="T173">
            <v>36560</v>
          </cell>
        </row>
        <row r="174">
          <cell r="A174" t="str">
            <v>PCs</v>
          </cell>
          <cell r="B174" t="str">
            <v>MegaStream</v>
          </cell>
          <cell r="C174" t="str">
            <v>WSS</v>
          </cell>
          <cell r="D174" t="str">
            <v>Budget</v>
          </cell>
          <cell r="E174">
            <v>29290</v>
          </cell>
          <cell r="F174">
            <v>29795</v>
          </cell>
          <cell r="G174">
            <v>30277</v>
          </cell>
          <cell r="H174">
            <v>30861</v>
          </cell>
          <cell r="I174">
            <v>31366</v>
          </cell>
          <cell r="J174">
            <v>31918</v>
          </cell>
          <cell r="K174">
            <v>32470</v>
          </cell>
          <cell r="L174">
            <v>32890</v>
          </cell>
          <cell r="M174">
            <v>33215</v>
          </cell>
          <cell r="N174">
            <v>33576</v>
          </cell>
          <cell r="O174">
            <v>33838</v>
          </cell>
          <cell r="P174">
            <v>34294</v>
          </cell>
          <cell r="Q174">
            <v>33352</v>
          </cell>
          <cell r="R174">
            <v>34516.163999999997</v>
          </cell>
          <cell r="S174">
            <v>34393.19</v>
          </cell>
          <cell r="T174">
            <v>34647.629999999997</v>
          </cell>
        </row>
        <row r="175">
          <cell r="A175" t="str">
            <v>PCs</v>
          </cell>
          <cell r="B175" t="str">
            <v>MOLOs</v>
          </cell>
          <cell r="C175" t="str">
            <v>Cessations</v>
          </cell>
          <cell r="D175" t="str">
            <v>Actual</v>
          </cell>
          <cell r="E175">
            <v>72</v>
          </cell>
          <cell r="F175">
            <v>244</v>
          </cell>
          <cell r="G175">
            <v>238</v>
          </cell>
          <cell r="H175">
            <v>197</v>
          </cell>
          <cell r="I175">
            <v>90</v>
          </cell>
          <cell r="J175">
            <v>82</v>
          </cell>
          <cell r="K175">
            <v>109</v>
          </cell>
          <cell r="L175">
            <v>139</v>
          </cell>
          <cell r="M175">
            <v>396</v>
          </cell>
          <cell r="N175">
            <v>350</v>
          </cell>
          <cell r="O175">
            <v>703</v>
          </cell>
          <cell r="P175">
            <v>484</v>
          </cell>
          <cell r="Q175">
            <v>774</v>
          </cell>
          <cell r="R175">
            <v>724</v>
          </cell>
          <cell r="S175">
            <v>620</v>
          </cell>
          <cell r="T175">
            <v>251</v>
          </cell>
        </row>
        <row r="176">
          <cell r="A176" t="str">
            <v>PCs</v>
          </cell>
          <cell r="B176" t="str">
            <v>MOLOs</v>
          </cell>
          <cell r="C176" t="str">
            <v>Cessations</v>
          </cell>
          <cell r="D176" t="str">
            <v>Budget</v>
          </cell>
          <cell r="E176">
            <v>15</v>
          </cell>
          <cell r="F176">
            <v>16</v>
          </cell>
          <cell r="G176">
            <v>16</v>
          </cell>
          <cell r="H176">
            <v>15</v>
          </cell>
          <cell r="I176">
            <v>16</v>
          </cell>
          <cell r="J176">
            <v>16</v>
          </cell>
          <cell r="K176">
            <v>16</v>
          </cell>
          <cell r="L176">
            <v>14</v>
          </cell>
          <cell r="M176">
            <v>13</v>
          </cell>
          <cell r="N176">
            <v>13</v>
          </cell>
          <cell r="O176">
            <v>13</v>
          </cell>
          <cell r="P176">
            <v>15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</row>
        <row r="177">
          <cell r="A177" t="str">
            <v>PCs</v>
          </cell>
          <cell r="B177" t="str">
            <v>MOLOs</v>
          </cell>
          <cell r="C177" t="str">
            <v>Demand</v>
          </cell>
          <cell r="D177" t="str">
            <v>Actual</v>
          </cell>
          <cell r="E177">
            <v>746</v>
          </cell>
          <cell r="F177">
            <v>426</v>
          </cell>
          <cell r="G177">
            <v>519</v>
          </cell>
          <cell r="H177">
            <v>495</v>
          </cell>
          <cell r="I177">
            <v>851</v>
          </cell>
          <cell r="J177">
            <v>980</v>
          </cell>
          <cell r="K177">
            <v>773</v>
          </cell>
          <cell r="L177">
            <v>1198</v>
          </cell>
          <cell r="M177">
            <v>1706</v>
          </cell>
          <cell r="N177">
            <v>518</v>
          </cell>
          <cell r="O177">
            <v>1226</v>
          </cell>
          <cell r="P177">
            <v>1296</v>
          </cell>
          <cell r="Q177">
            <v>496</v>
          </cell>
          <cell r="R177">
            <v>324</v>
          </cell>
          <cell r="S177">
            <v>455</v>
          </cell>
          <cell r="T177">
            <v>415</v>
          </cell>
        </row>
        <row r="178">
          <cell r="A178" t="str">
            <v>PCs</v>
          </cell>
          <cell r="B178" t="str">
            <v>MOLOs</v>
          </cell>
          <cell r="C178" t="str">
            <v>Demand</v>
          </cell>
          <cell r="D178" t="str">
            <v>Budget</v>
          </cell>
          <cell r="E178">
            <v>338</v>
          </cell>
          <cell r="F178">
            <v>348</v>
          </cell>
          <cell r="G178">
            <v>369</v>
          </cell>
          <cell r="H178">
            <v>348</v>
          </cell>
          <cell r="I178">
            <v>348</v>
          </cell>
          <cell r="J178">
            <v>379</v>
          </cell>
          <cell r="K178">
            <v>328</v>
          </cell>
          <cell r="L178">
            <v>307</v>
          </cell>
          <cell r="M178">
            <v>328</v>
          </cell>
          <cell r="N178">
            <v>307</v>
          </cell>
          <cell r="O178">
            <v>328</v>
          </cell>
          <cell r="P178">
            <v>367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</row>
        <row r="179">
          <cell r="A179" t="str">
            <v>PCs</v>
          </cell>
          <cell r="B179" t="str">
            <v>MOLOs</v>
          </cell>
          <cell r="C179" t="str">
            <v>OIH</v>
          </cell>
          <cell r="D179" t="str">
            <v>Actual</v>
          </cell>
          <cell r="E179">
            <v>1845</v>
          </cell>
          <cell r="F179">
            <v>1801</v>
          </cell>
          <cell r="G179">
            <v>1712</v>
          </cell>
          <cell r="H179">
            <v>1651</v>
          </cell>
          <cell r="I179">
            <v>1792</v>
          </cell>
          <cell r="J179">
            <v>2044</v>
          </cell>
          <cell r="K179">
            <v>2118</v>
          </cell>
          <cell r="L179">
            <v>2772</v>
          </cell>
          <cell r="M179">
            <v>3120</v>
          </cell>
          <cell r="N179">
            <v>3302</v>
          </cell>
          <cell r="O179">
            <v>3148</v>
          </cell>
          <cell r="P179">
            <v>3070</v>
          </cell>
          <cell r="Q179">
            <v>1907</v>
          </cell>
          <cell r="R179">
            <v>1763</v>
          </cell>
          <cell r="S179">
            <v>1795</v>
          </cell>
          <cell r="T179">
            <v>1759</v>
          </cell>
        </row>
        <row r="180">
          <cell r="A180" t="str">
            <v>PCs</v>
          </cell>
          <cell r="B180" t="str">
            <v>MOLOs</v>
          </cell>
          <cell r="C180" t="str">
            <v>OIH</v>
          </cell>
          <cell r="D180" t="str">
            <v>Budget</v>
          </cell>
          <cell r="E180">
            <v>480</v>
          </cell>
          <cell r="F180">
            <v>469</v>
          </cell>
          <cell r="G180">
            <v>459</v>
          </cell>
          <cell r="H180">
            <v>469</v>
          </cell>
          <cell r="I180">
            <v>458</v>
          </cell>
          <cell r="J180">
            <v>458</v>
          </cell>
          <cell r="K180">
            <v>427</v>
          </cell>
          <cell r="L180">
            <v>416</v>
          </cell>
          <cell r="M180">
            <v>447</v>
          </cell>
          <cell r="N180">
            <v>446</v>
          </cell>
          <cell r="O180">
            <v>477</v>
          </cell>
          <cell r="P180">
            <v>475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</row>
        <row r="181">
          <cell r="A181" t="str">
            <v>PCs</v>
          </cell>
          <cell r="B181" t="str">
            <v>MOLOs</v>
          </cell>
          <cell r="C181" t="str">
            <v>RSS</v>
          </cell>
          <cell r="D181" t="str">
            <v>Actual</v>
          </cell>
          <cell r="E181">
            <v>13971</v>
          </cell>
          <cell r="F181">
            <v>14331</v>
          </cell>
          <cell r="G181">
            <v>14974</v>
          </cell>
          <cell r="H181">
            <v>15431</v>
          </cell>
          <cell r="I181">
            <v>15900</v>
          </cell>
          <cell r="J181">
            <v>16419</v>
          </cell>
          <cell r="K181">
            <v>16478</v>
          </cell>
          <cell r="L181">
            <v>17187</v>
          </cell>
          <cell r="M181">
            <v>18079</v>
          </cell>
          <cell r="N181">
            <v>18399</v>
          </cell>
          <cell r="O181">
            <v>18960</v>
          </cell>
          <cell r="P181">
            <v>19771</v>
          </cell>
          <cell r="Q181">
            <v>20454</v>
          </cell>
          <cell r="R181">
            <v>20021</v>
          </cell>
          <cell r="S181">
            <v>19789</v>
          </cell>
          <cell r="T181">
            <v>19956</v>
          </cell>
        </row>
        <row r="182">
          <cell r="A182" t="str">
            <v>PCs</v>
          </cell>
          <cell r="B182" t="str">
            <v>MOLOs</v>
          </cell>
          <cell r="C182" t="str">
            <v>RSS</v>
          </cell>
          <cell r="D182" t="str">
            <v>Budget</v>
          </cell>
          <cell r="E182">
            <v>12601</v>
          </cell>
          <cell r="F182">
            <v>12952</v>
          </cell>
          <cell r="G182">
            <v>13321</v>
          </cell>
          <cell r="H182">
            <v>13650</v>
          </cell>
          <cell r="I182">
            <v>14001</v>
          </cell>
          <cell r="J182">
            <v>14370</v>
          </cell>
          <cell r="K182">
            <v>14723</v>
          </cell>
          <cell r="L182">
            <v>15033</v>
          </cell>
          <cell r="M182">
            <v>15321</v>
          </cell>
          <cell r="N182">
            <v>15620</v>
          </cell>
          <cell r="O182">
            <v>15908</v>
          </cell>
          <cell r="P182">
            <v>16270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</row>
        <row r="183">
          <cell r="A183" t="str">
            <v>PCs</v>
          </cell>
          <cell r="B183" t="str">
            <v>MOLOs</v>
          </cell>
          <cell r="C183" t="str">
            <v>Supply</v>
          </cell>
          <cell r="D183" t="str">
            <v>Actual</v>
          </cell>
          <cell r="E183">
            <v>531</v>
          </cell>
          <cell r="F183">
            <v>478</v>
          </cell>
          <cell r="G183">
            <v>890</v>
          </cell>
          <cell r="H183">
            <v>555</v>
          </cell>
          <cell r="I183">
            <v>711</v>
          </cell>
          <cell r="J183">
            <v>725</v>
          </cell>
          <cell r="K183">
            <v>697</v>
          </cell>
          <cell r="L183">
            <v>702</v>
          </cell>
          <cell r="M183">
            <v>1429</v>
          </cell>
          <cell r="N183">
            <v>332</v>
          </cell>
          <cell r="O183">
            <v>1194</v>
          </cell>
          <cell r="P183">
            <v>1377</v>
          </cell>
          <cell r="Q183">
            <v>501</v>
          </cell>
          <cell r="R183">
            <v>255</v>
          </cell>
          <cell r="S183">
            <v>420</v>
          </cell>
          <cell r="T183">
            <v>384</v>
          </cell>
        </row>
        <row r="184">
          <cell r="A184" t="str">
            <v>PCs</v>
          </cell>
          <cell r="B184" t="str">
            <v>MOLOs</v>
          </cell>
          <cell r="C184" t="str">
            <v>Supply</v>
          </cell>
          <cell r="D184" t="str">
            <v>Budget</v>
          </cell>
          <cell r="E184">
            <v>338</v>
          </cell>
          <cell r="F184">
            <v>359</v>
          </cell>
          <cell r="G184">
            <v>379</v>
          </cell>
          <cell r="H184">
            <v>338</v>
          </cell>
          <cell r="I184">
            <v>359</v>
          </cell>
          <cell r="J184">
            <v>379</v>
          </cell>
          <cell r="K184">
            <v>359</v>
          </cell>
          <cell r="L184">
            <v>318</v>
          </cell>
          <cell r="M184">
            <v>297</v>
          </cell>
          <cell r="N184">
            <v>308</v>
          </cell>
          <cell r="O184">
            <v>297</v>
          </cell>
          <cell r="P184">
            <v>369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</row>
        <row r="185">
          <cell r="A185" t="str">
            <v>PCs</v>
          </cell>
          <cell r="B185" t="str">
            <v>MOLOs</v>
          </cell>
          <cell r="C185" t="str">
            <v>WSS</v>
          </cell>
          <cell r="D185" t="str">
            <v>Actual</v>
          </cell>
          <cell r="E185">
            <v>15054</v>
          </cell>
          <cell r="F185">
            <v>15288</v>
          </cell>
          <cell r="G185">
            <v>15940</v>
          </cell>
          <cell r="H185">
            <v>16298</v>
          </cell>
          <cell r="I185">
            <v>16919</v>
          </cell>
          <cell r="J185">
            <v>17562</v>
          </cell>
          <cell r="K185">
            <v>18150</v>
          </cell>
          <cell r="L185">
            <v>18713</v>
          </cell>
          <cell r="M185">
            <v>19746</v>
          </cell>
          <cell r="N185">
            <v>19728</v>
          </cell>
          <cell r="O185">
            <v>20219</v>
          </cell>
          <cell r="P185">
            <v>21112</v>
          </cell>
          <cell r="Q185">
            <v>22046</v>
          </cell>
          <cell r="R185">
            <v>21524</v>
          </cell>
          <cell r="S185">
            <v>21400</v>
          </cell>
          <cell r="T185">
            <v>21482</v>
          </cell>
        </row>
        <row r="186">
          <cell r="A186" t="str">
            <v>PCs</v>
          </cell>
          <cell r="B186" t="str">
            <v>MOLOs</v>
          </cell>
          <cell r="C186" t="str">
            <v>WSS</v>
          </cell>
          <cell r="D186" t="str">
            <v>Budget</v>
          </cell>
          <cell r="E186">
            <v>12652</v>
          </cell>
          <cell r="F186">
            <v>12999</v>
          </cell>
          <cell r="G186">
            <v>13365</v>
          </cell>
          <cell r="H186">
            <v>13691</v>
          </cell>
          <cell r="I186">
            <v>14038</v>
          </cell>
          <cell r="J186">
            <v>14404</v>
          </cell>
          <cell r="K186">
            <v>14752</v>
          </cell>
          <cell r="L186">
            <v>15059</v>
          </cell>
          <cell r="M186">
            <v>15345</v>
          </cell>
          <cell r="N186">
            <v>15642</v>
          </cell>
          <cell r="O186">
            <v>15928</v>
          </cell>
          <cell r="P186">
            <v>16286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A187" t="str">
            <v>PCs</v>
          </cell>
          <cell r="B187" t="str">
            <v>PRIME</v>
          </cell>
          <cell r="C187" t="str">
            <v>Cessations</v>
          </cell>
          <cell r="D187" t="str">
            <v>Actual</v>
          </cell>
          <cell r="E187">
            <v>394</v>
          </cell>
          <cell r="F187">
            <v>739</v>
          </cell>
          <cell r="G187">
            <v>368</v>
          </cell>
          <cell r="H187">
            <v>388</v>
          </cell>
          <cell r="I187">
            <v>292</v>
          </cell>
          <cell r="J187">
            <v>387</v>
          </cell>
          <cell r="K187">
            <v>192</v>
          </cell>
          <cell r="L187">
            <v>441</v>
          </cell>
          <cell r="M187">
            <v>818</v>
          </cell>
          <cell r="N187">
            <v>347</v>
          </cell>
          <cell r="O187">
            <v>221</v>
          </cell>
          <cell r="P187">
            <v>441</v>
          </cell>
          <cell r="Q187">
            <v>512</v>
          </cell>
          <cell r="R187">
            <v>422</v>
          </cell>
          <cell r="S187">
            <v>411</v>
          </cell>
          <cell r="T187">
            <v>188</v>
          </cell>
        </row>
        <row r="188">
          <cell r="A188" t="str">
            <v>PCs</v>
          </cell>
          <cell r="B188" t="str">
            <v>PRIME</v>
          </cell>
          <cell r="C188" t="str">
            <v>Cessations</v>
          </cell>
          <cell r="D188" t="str">
            <v>Budget</v>
          </cell>
          <cell r="E188">
            <v>307</v>
          </cell>
          <cell r="F188">
            <v>308</v>
          </cell>
          <cell r="G188">
            <v>342</v>
          </cell>
          <cell r="H188">
            <v>307</v>
          </cell>
          <cell r="I188">
            <v>307</v>
          </cell>
          <cell r="J188">
            <v>292</v>
          </cell>
          <cell r="K188">
            <v>222</v>
          </cell>
          <cell r="L188">
            <v>187</v>
          </cell>
          <cell r="M188">
            <v>221</v>
          </cell>
          <cell r="N188">
            <v>221</v>
          </cell>
          <cell r="O188">
            <v>326</v>
          </cell>
          <cell r="P188">
            <v>380</v>
          </cell>
          <cell r="Q188">
            <v>451.12900000000002</v>
          </cell>
          <cell r="R188">
            <v>186.624</v>
          </cell>
          <cell r="S188">
            <v>211.97</v>
          </cell>
          <cell r="T188">
            <v>165.89</v>
          </cell>
        </row>
        <row r="189">
          <cell r="A189" t="str">
            <v>PCs</v>
          </cell>
          <cell r="B189" t="str">
            <v>PRIME</v>
          </cell>
          <cell r="C189" t="str">
            <v>Demand</v>
          </cell>
          <cell r="D189" t="str">
            <v>Actual</v>
          </cell>
          <cell r="E189">
            <v>218</v>
          </cell>
          <cell r="F189">
            <v>176</v>
          </cell>
          <cell r="G189">
            <v>466</v>
          </cell>
          <cell r="H189">
            <v>232</v>
          </cell>
          <cell r="I189">
            <v>234</v>
          </cell>
          <cell r="J189">
            <v>329</v>
          </cell>
          <cell r="K189">
            <v>208</v>
          </cell>
          <cell r="L189">
            <v>251</v>
          </cell>
          <cell r="M189">
            <v>260</v>
          </cell>
          <cell r="N189">
            <v>137</v>
          </cell>
          <cell r="O189">
            <v>448</v>
          </cell>
          <cell r="P189">
            <v>370</v>
          </cell>
          <cell r="Q189">
            <v>548</v>
          </cell>
          <cell r="R189">
            <v>287</v>
          </cell>
          <cell r="S189">
            <v>303</v>
          </cell>
          <cell r="T189">
            <v>364</v>
          </cell>
        </row>
        <row r="190">
          <cell r="A190" t="str">
            <v>PCs</v>
          </cell>
          <cell r="B190" t="str">
            <v>PRIME</v>
          </cell>
          <cell r="C190" t="str">
            <v>Demand</v>
          </cell>
          <cell r="D190" t="str">
            <v>Budget</v>
          </cell>
          <cell r="E190">
            <v>155</v>
          </cell>
          <cell r="F190">
            <v>155</v>
          </cell>
          <cell r="G190">
            <v>177</v>
          </cell>
          <cell r="H190">
            <v>155</v>
          </cell>
          <cell r="I190">
            <v>156</v>
          </cell>
          <cell r="J190">
            <v>150</v>
          </cell>
          <cell r="K190">
            <v>113</v>
          </cell>
          <cell r="L190">
            <v>95</v>
          </cell>
          <cell r="M190">
            <v>112</v>
          </cell>
          <cell r="N190">
            <v>114</v>
          </cell>
          <cell r="O190">
            <v>166</v>
          </cell>
          <cell r="P190">
            <v>186</v>
          </cell>
          <cell r="Q190">
            <v>0</v>
          </cell>
          <cell r="R190">
            <v>0</v>
          </cell>
          <cell r="S190">
            <v>0</v>
          </cell>
          <cell r="T190">
            <v>135.47999999999999</v>
          </cell>
        </row>
        <row r="191">
          <cell r="A191" t="str">
            <v>PCs</v>
          </cell>
          <cell r="B191" t="str">
            <v>PRIME</v>
          </cell>
          <cell r="C191" t="str">
            <v>OIH</v>
          </cell>
          <cell r="D191" t="str">
            <v>Actual</v>
          </cell>
          <cell r="E191">
            <v>409</v>
          </cell>
          <cell r="F191">
            <v>240</v>
          </cell>
          <cell r="G191">
            <v>381</v>
          </cell>
          <cell r="H191">
            <v>361</v>
          </cell>
          <cell r="I191">
            <v>331</v>
          </cell>
          <cell r="J191">
            <v>348</v>
          </cell>
          <cell r="K191">
            <v>308</v>
          </cell>
          <cell r="L191">
            <v>370</v>
          </cell>
          <cell r="M191">
            <v>275</v>
          </cell>
          <cell r="N191">
            <v>216</v>
          </cell>
          <cell r="O191">
            <v>281</v>
          </cell>
          <cell r="P191">
            <v>280</v>
          </cell>
          <cell r="Q191">
            <v>332</v>
          </cell>
          <cell r="R191">
            <v>416</v>
          </cell>
          <cell r="S191">
            <v>394</v>
          </cell>
          <cell r="T191">
            <v>500</v>
          </cell>
        </row>
        <row r="192">
          <cell r="A192" t="str">
            <v>PCs</v>
          </cell>
          <cell r="B192" t="str">
            <v>PRIME</v>
          </cell>
          <cell r="C192" t="str">
            <v>OIH</v>
          </cell>
          <cell r="D192" t="str">
            <v>Budget</v>
          </cell>
          <cell r="E192">
            <v>130</v>
          </cell>
          <cell r="F192">
            <v>129</v>
          </cell>
          <cell r="G192">
            <v>150</v>
          </cell>
          <cell r="H192">
            <v>126</v>
          </cell>
          <cell r="I192">
            <v>126</v>
          </cell>
          <cell r="J192">
            <v>108</v>
          </cell>
          <cell r="K192">
            <v>78</v>
          </cell>
          <cell r="L192">
            <v>60</v>
          </cell>
          <cell r="M192">
            <v>70</v>
          </cell>
          <cell r="N192">
            <v>68</v>
          </cell>
          <cell r="O192">
            <v>107</v>
          </cell>
          <cell r="P192">
            <v>78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</row>
        <row r="193">
          <cell r="A193" t="str">
            <v>PCs</v>
          </cell>
          <cell r="B193" t="str">
            <v>PRIME</v>
          </cell>
          <cell r="C193" t="str">
            <v>RSS</v>
          </cell>
          <cell r="D193" t="str">
            <v>Actual</v>
          </cell>
          <cell r="E193">
            <v>9812</v>
          </cell>
          <cell r="F193">
            <v>9379</v>
          </cell>
          <cell r="G193">
            <v>9325</v>
          </cell>
          <cell r="H193">
            <v>9236</v>
          </cell>
          <cell r="I193">
            <v>9156</v>
          </cell>
          <cell r="J193">
            <v>9044</v>
          </cell>
          <cell r="K193">
            <v>9102</v>
          </cell>
          <cell r="L193">
            <v>8905</v>
          </cell>
          <cell r="M193">
            <v>8454</v>
          </cell>
          <cell r="N193">
            <v>8365</v>
          </cell>
          <cell r="O193">
            <v>8531</v>
          </cell>
          <cell r="P193">
            <v>8434</v>
          </cell>
          <cell r="Q193">
            <v>14719</v>
          </cell>
          <cell r="R193">
            <v>8170</v>
          </cell>
          <cell r="S193">
            <v>8042</v>
          </cell>
          <cell r="T193">
            <v>8114</v>
          </cell>
        </row>
        <row r="194">
          <cell r="A194" t="str">
            <v>PCs</v>
          </cell>
          <cell r="B194" t="str">
            <v>PRIME</v>
          </cell>
          <cell r="C194" t="str">
            <v>RSS</v>
          </cell>
          <cell r="D194" t="str">
            <v>Budget</v>
          </cell>
          <cell r="E194">
            <v>8335</v>
          </cell>
          <cell r="F194">
            <v>8237</v>
          </cell>
          <cell r="G194">
            <v>8127</v>
          </cell>
          <cell r="H194">
            <v>8046</v>
          </cell>
          <cell r="I194">
            <v>7949</v>
          </cell>
          <cell r="J194">
            <v>7898</v>
          </cell>
          <cell r="K194">
            <v>7869</v>
          </cell>
          <cell r="L194">
            <v>7854</v>
          </cell>
          <cell r="M194">
            <v>7820</v>
          </cell>
          <cell r="N194">
            <v>7777</v>
          </cell>
          <cell r="O194">
            <v>7639</v>
          </cell>
          <cell r="P194">
            <v>7498</v>
          </cell>
          <cell r="Q194">
            <v>6673.2020000000002</v>
          </cell>
          <cell r="R194">
            <v>3546.5425</v>
          </cell>
          <cell r="S194">
            <v>3788.44</v>
          </cell>
          <cell r="T194">
            <v>9527.0300000000007</v>
          </cell>
        </row>
        <row r="195">
          <cell r="A195" t="str">
            <v>PCs</v>
          </cell>
          <cell r="B195" t="str">
            <v>PRIME</v>
          </cell>
          <cell r="C195" t="str">
            <v>Supply</v>
          </cell>
          <cell r="D195" t="str">
            <v>Actual</v>
          </cell>
          <cell r="E195">
            <v>398</v>
          </cell>
          <cell r="F195">
            <v>345</v>
          </cell>
          <cell r="G195">
            <v>323</v>
          </cell>
          <cell r="H195">
            <v>251</v>
          </cell>
          <cell r="I195">
            <v>262</v>
          </cell>
          <cell r="J195">
            <v>310</v>
          </cell>
          <cell r="K195">
            <v>248</v>
          </cell>
          <cell r="L195">
            <v>191</v>
          </cell>
          <cell r="M195">
            <v>355</v>
          </cell>
          <cell r="N195">
            <v>196</v>
          </cell>
          <cell r="O195">
            <v>383</v>
          </cell>
          <cell r="P195">
            <v>371</v>
          </cell>
          <cell r="Q195">
            <v>444</v>
          </cell>
          <cell r="R195">
            <v>204</v>
          </cell>
          <cell r="S195">
            <v>325</v>
          </cell>
          <cell r="T195">
            <v>258</v>
          </cell>
        </row>
        <row r="196">
          <cell r="A196" t="str">
            <v>PCs</v>
          </cell>
          <cell r="B196" t="str">
            <v>PRIME</v>
          </cell>
          <cell r="C196" t="str">
            <v>Supply</v>
          </cell>
          <cell r="D196" t="str">
            <v>Budget</v>
          </cell>
          <cell r="E196">
            <v>173</v>
          </cell>
          <cell r="F196">
            <v>156</v>
          </cell>
          <cell r="G196">
            <v>156</v>
          </cell>
          <cell r="H196">
            <v>179</v>
          </cell>
          <cell r="I196">
            <v>156</v>
          </cell>
          <cell r="J196">
            <v>168</v>
          </cell>
          <cell r="K196">
            <v>143</v>
          </cell>
          <cell r="L196">
            <v>113</v>
          </cell>
          <cell r="M196">
            <v>102</v>
          </cell>
          <cell r="N196">
            <v>116</v>
          </cell>
          <cell r="O196">
            <v>127</v>
          </cell>
          <cell r="P196">
            <v>171</v>
          </cell>
          <cell r="Q196">
            <v>742.95600000000002</v>
          </cell>
          <cell r="R196">
            <v>374.63900000000001</v>
          </cell>
          <cell r="S196">
            <v>435.54</v>
          </cell>
          <cell r="T196">
            <v>385.64</v>
          </cell>
        </row>
        <row r="197">
          <cell r="A197" t="str">
            <v>PCs</v>
          </cell>
          <cell r="B197" t="str">
            <v>PRIME</v>
          </cell>
          <cell r="C197" t="str">
            <v>WSS</v>
          </cell>
          <cell r="D197" t="str">
            <v>Actual</v>
          </cell>
          <cell r="E197">
            <v>11230</v>
          </cell>
          <cell r="F197">
            <v>10977</v>
          </cell>
          <cell r="G197">
            <v>10776</v>
          </cell>
          <cell r="H197">
            <v>10445</v>
          </cell>
          <cell r="I197">
            <v>10198</v>
          </cell>
          <cell r="J197">
            <v>9986</v>
          </cell>
          <cell r="K197">
            <v>9888</v>
          </cell>
          <cell r="L197">
            <v>9676</v>
          </cell>
          <cell r="M197">
            <v>9642</v>
          </cell>
          <cell r="N197">
            <v>9742</v>
          </cell>
          <cell r="O197">
            <v>9854</v>
          </cell>
          <cell r="P197">
            <v>9929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</row>
        <row r="198">
          <cell r="A198" t="str">
            <v>PCs</v>
          </cell>
          <cell r="B198" t="str">
            <v>PRIME</v>
          </cell>
          <cell r="C198" t="str">
            <v>WSS</v>
          </cell>
          <cell r="D198" t="str">
            <v>Budget</v>
          </cell>
          <cell r="E198">
            <v>10583</v>
          </cell>
          <cell r="F198">
            <v>10322</v>
          </cell>
          <cell r="G198">
            <v>10082</v>
          </cell>
          <cell r="H198">
            <v>9784</v>
          </cell>
          <cell r="I198">
            <v>9523</v>
          </cell>
          <cell r="J198">
            <v>9267</v>
          </cell>
          <cell r="K198">
            <v>8987</v>
          </cell>
          <cell r="L198">
            <v>8791</v>
          </cell>
          <cell r="M198">
            <v>8664</v>
          </cell>
          <cell r="N198">
            <v>8501</v>
          </cell>
          <cell r="O198">
            <v>8373</v>
          </cell>
          <cell r="P198">
            <v>7042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</row>
        <row r="199">
          <cell r="A199" t="str">
            <v>PCs</v>
          </cell>
          <cell r="B199" t="str">
            <v>Speechline/ Keyline</v>
          </cell>
          <cell r="C199" t="str">
            <v>Cessations</v>
          </cell>
          <cell r="D199" t="str">
            <v>Actual</v>
          </cell>
          <cell r="E199">
            <v>2582</v>
          </cell>
          <cell r="F199">
            <v>2911</v>
          </cell>
          <cell r="G199">
            <v>3648</v>
          </cell>
          <cell r="H199">
            <v>3069</v>
          </cell>
          <cell r="I199">
            <v>2801</v>
          </cell>
          <cell r="J199">
            <v>2757</v>
          </cell>
          <cell r="K199">
            <v>2737</v>
          </cell>
          <cell r="L199">
            <v>2689</v>
          </cell>
          <cell r="M199">
            <v>4321</v>
          </cell>
          <cell r="N199">
            <v>2251</v>
          </cell>
          <cell r="O199">
            <v>2251</v>
          </cell>
          <cell r="P199">
            <v>4284</v>
          </cell>
          <cell r="Q199">
            <v>0</v>
          </cell>
          <cell r="R199">
            <v>2458</v>
          </cell>
          <cell r="S199">
            <v>3561</v>
          </cell>
          <cell r="T199">
            <v>2688</v>
          </cell>
        </row>
        <row r="200">
          <cell r="A200" t="str">
            <v>PCs</v>
          </cell>
          <cell r="B200" t="str">
            <v>Speechline/ Keyline</v>
          </cell>
          <cell r="C200" t="str">
            <v>Cessations</v>
          </cell>
          <cell r="D200" t="str">
            <v>Budget</v>
          </cell>
          <cell r="E200">
            <v>6436</v>
          </cell>
          <cell r="F200">
            <v>6436</v>
          </cell>
          <cell r="G200">
            <v>7151</v>
          </cell>
          <cell r="H200">
            <v>6436</v>
          </cell>
          <cell r="I200">
            <v>6436</v>
          </cell>
          <cell r="J200">
            <v>6078</v>
          </cell>
          <cell r="K200">
            <v>4648</v>
          </cell>
          <cell r="L200">
            <v>3933</v>
          </cell>
          <cell r="M200">
            <v>4648</v>
          </cell>
          <cell r="N200">
            <v>4648</v>
          </cell>
          <cell r="O200">
            <v>4648</v>
          </cell>
          <cell r="P200">
            <v>7867</v>
          </cell>
          <cell r="Q200">
            <v>3986.4520000000002</v>
          </cell>
          <cell r="R200">
            <v>0</v>
          </cell>
          <cell r="S200">
            <v>3548.35</v>
          </cell>
          <cell r="T200">
            <v>2776.97</v>
          </cell>
        </row>
        <row r="201">
          <cell r="A201" t="str">
            <v>PCs</v>
          </cell>
          <cell r="B201" t="str">
            <v>Speechline/ Keyline</v>
          </cell>
          <cell r="C201" t="str">
            <v>Demand</v>
          </cell>
          <cell r="D201" t="str">
            <v>Actual</v>
          </cell>
          <cell r="E201">
            <v>978</v>
          </cell>
          <cell r="F201">
            <v>1149</v>
          </cell>
          <cell r="G201">
            <v>1325</v>
          </cell>
          <cell r="H201">
            <v>1262</v>
          </cell>
          <cell r="I201">
            <v>1130</v>
          </cell>
          <cell r="J201">
            <v>1503</v>
          </cell>
          <cell r="K201">
            <v>1182</v>
          </cell>
          <cell r="L201">
            <v>1156</v>
          </cell>
          <cell r="M201">
            <v>994</v>
          </cell>
          <cell r="N201">
            <v>740</v>
          </cell>
          <cell r="O201">
            <v>1035</v>
          </cell>
          <cell r="P201">
            <v>1094</v>
          </cell>
          <cell r="Q201">
            <v>857</v>
          </cell>
          <cell r="R201">
            <v>972</v>
          </cell>
          <cell r="S201">
            <v>1048</v>
          </cell>
          <cell r="T201">
            <v>1016</v>
          </cell>
        </row>
        <row r="202">
          <cell r="A202" t="str">
            <v>PCs</v>
          </cell>
          <cell r="B202" t="str">
            <v>Speechline/ Keyline</v>
          </cell>
          <cell r="C202" t="str">
            <v>Demand</v>
          </cell>
          <cell r="D202" t="str">
            <v>Budget</v>
          </cell>
          <cell r="E202">
            <v>1091</v>
          </cell>
          <cell r="F202">
            <v>942</v>
          </cell>
          <cell r="G202">
            <v>992</v>
          </cell>
          <cell r="H202">
            <v>942</v>
          </cell>
          <cell r="I202">
            <v>893</v>
          </cell>
          <cell r="J202">
            <v>843</v>
          </cell>
          <cell r="K202">
            <v>645</v>
          </cell>
          <cell r="L202">
            <v>545</v>
          </cell>
          <cell r="M202">
            <v>645</v>
          </cell>
          <cell r="N202">
            <v>645</v>
          </cell>
          <cell r="O202">
            <v>843</v>
          </cell>
          <cell r="P202">
            <v>891</v>
          </cell>
          <cell r="Q202">
            <v>681</v>
          </cell>
          <cell r="R202">
            <v>779</v>
          </cell>
          <cell r="S202">
            <v>856.13</v>
          </cell>
          <cell r="T202">
            <v>679.87</v>
          </cell>
        </row>
        <row r="203">
          <cell r="A203" t="str">
            <v>PCs</v>
          </cell>
          <cell r="B203" t="str">
            <v>Speechline/ Keyline</v>
          </cell>
          <cell r="C203" t="str">
            <v>OIH</v>
          </cell>
          <cell r="D203" t="str">
            <v>Actual</v>
          </cell>
          <cell r="E203">
            <v>1786</v>
          </cell>
          <cell r="F203">
            <v>1967</v>
          </cell>
          <cell r="G203">
            <v>1933</v>
          </cell>
          <cell r="H203">
            <v>2001</v>
          </cell>
          <cell r="I203">
            <v>2014</v>
          </cell>
          <cell r="J203">
            <v>2254</v>
          </cell>
          <cell r="K203">
            <v>2235</v>
          </cell>
          <cell r="L203">
            <v>2200</v>
          </cell>
          <cell r="M203">
            <v>1706</v>
          </cell>
          <cell r="N203">
            <v>1821</v>
          </cell>
          <cell r="O203">
            <v>1850</v>
          </cell>
          <cell r="P203">
            <v>1688</v>
          </cell>
          <cell r="Q203">
            <v>1545</v>
          </cell>
          <cell r="R203">
            <v>1808</v>
          </cell>
          <cell r="S203">
            <v>1842</v>
          </cell>
          <cell r="T203">
            <v>1841</v>
          </cell>
        </row>
        <row r="204">
          <cell r="A204" t="str">
            <v>PCs</v>
          </cell>
          <cell r="B204" t="str">
            <v>Speechline/ Keyline</v>
          </cell>
          <cell r="C204" t="str">
            <v>OIH</v>
          </cell>
          <cell r="D204" t="str">
            <v>Budget</v>
          </cell>
          <cell r="E204">
            <v>1468</v>
          </cell>
          <cell r="F204">
            <v>1457</v>
          </cell>
          <cell r="G204">
            <v>1496</v>
          </cell>
          <cell r="H204">
            <v>1379</v>
          </cell>
          <cell r="I204">
            <v>1319</v>
          </cell>
          <cell r="J204">
            <v>1156</v>
          </cell>
          <cell r="K204">
            <v>848</v>
          </cell>
          <cell r="L204">
            <v>652</v>
          </cell>
          <cell r="M204">
            <v>661</v>
          </cell>
          <cell r="N204">
            <v>617</v>
          </cell>
          <cell r="O204">
            <v>824</v>
          </cell>
          <cell r="P204">
            <v>763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</row>
        <row r="205">
          <cell r="A205" t="str">
            <v>PCs</v>
          </cell>
          <cell r="B205" t="str">
            <v>Speechline/ Keyline</v>
          </cell>
          <cell r="C205" t="str">
            <v>RSS</v>
          </cell>
          <cell r="D205" t="str">
            <v>Actual</v>
          </cell>
          <cell r="E205">
            <v>172313</v>
          </cell>
          <cell r="F205">
            <v>169194</v>
          </cell>
          <cell r="G205">
            <v>166514</v>
          </cell>
          <cell r="H205">
            <v>164599</v>
          </cell>
          <cell r="I205">
            <v>162214</v>
          </cell>
          <cell r="J205">
            <v>159472</v>
          </cell>
          <cell r="K205">
            <v>157435</v>
          </cell>
          <cell r="L205">
            <v>154929</v>
          </cell>
          <cell r="M205">
            <v>151595</v>
          </cell>
          <cell r="N205">
            <v>149872</v>
          </cell>
          <cell r="O205">
            <v>148075</v>
          </cell>
          <cell r="P205">
            <v>145155</v>
          </cell>
          <cell r="Q205">
            <v>143294</v>
          </cell>
          <cell r="R205">
            <v>140136</v>
          </cell>
          <cell r="S205">
            <v>137722</v>
          </cell>
          <cell r="T205">
            <v>135820</v>
          </cell>
        </row>
        <row r="206">
          <cell r="A206" t="str">
            <v>PCs</v>
          </cell>
          <cell r="B206" t="str">
            <v>Speechline/ Keyline</v>
          </cell>
          <cell r="C206" t="str">
            <v>RSS</v>
          </cell>
          <cell r="D206" t="str">
            <v>Budget</v>
          </cell>
          <cell r="E206">
            <v>168886</v>
          </cell>
          <cell r="F206">
            <v>163105</v>
          </cell>
          <cell r="G206">
            <v>156592</v>
          </cell>
          <cell r="H206">
            <v>150893</v>
          </cell>
          <cell r="I206">
            <v>145112</v>
          </cell>
          <cell r="J206">
            <v>139713</v>
          </cell>
          <cell r="K206">
            <v>135720</v>
          </cell>
          <cell r="L206">
            <v>132279</v>
          </cell>
          <cell r="M206">
            <v>128025</v>
          </cell>
          <cell r="N206">
            <v>123829</v>
          </cell>
          <cell r="O206">
            <v>117447</v>
          </cell>
          <cell r="P206">
            <v>110222</v>
          </cell>
          <cell r="Q206">
            <v>143895.40139860101</v>
          </cell>
          <cell r="R206">
            <v>142242.774825175</v>
          </cell>
          <cell r="S206">
            <v>140400.72</v>
          </cell>
          <cell r="T206">
            <v>138979.72</v>
          </cell>
        </row>
        <row r="207">
          <cell r="A207" t="str">
            <v>PCs</v>
          </cell>
          <cell r="B207" t="str">
            <v>Speechline/ Keyline</v>
          </cell>
          <cell r="C207" t="str">
            <v>Supply</v>
          </cell>
          <cell r="D207" t="str">
            <v>Actual</v>
          </cell>
          <cell r="E207">
            <v>1097</v>
          </cell>
          <cell r="F207">
            <v>1002</v>
          </cell>
          <cell r="G207">
            <v>1373</v>
          </cell>
          <cell r="H207">
            <v>1166</v>
          </cell>
          <cell r="I207">
            <v>1213</v>
          </cell>
          <cell r="J207">
            <v>1259</v>
          </cell>
          <cell r="K207">
            <v>1215</v>
          </cell>
          <cell r="L207">
            <v>1185</v>
          </cell>
          <cell r="M207">
            <v>1444</v>
          </cell>
          <cell r="N207">
            <v>593</v>
          </cell>
          <cell r="O207">
            <v>993</v>
          </cell>
          <cell r="P207">
            <v>1257</v>
          </cell>
          <cell r="Q207">
            <v>902</v>
          </cell>
          <cell r="R207">
            <v>759</v>
          </cell>
          <cell r="S207">
            <v>1018</v>
          </cell>
          <cell r="T207">
            <v>932</v>
          </cell>
        </row>
        <row r="208">
          <cell r="A208" t="str">
            <v>PCs</v>
          </cell>
          <cell r="B208" t="str">
            <v>Speechline/ Keyline</v>
          </cell>
          <cell r="C208" t="str">
            <v>Supply</v>
          </cell>
          <cell r="D208" t="str">
            <v>Budget</v>
          </cell>
          <cell r="E208">
            <v>1059</v>
          </cell>
          <cell r="F208">
            <v>953</v>
          </cell>
          <cell r="G208">
            <v>953</v>
          </cell>
          <cell r="H208">
            <v>1059</v>
          </cell>
          <cell r="I208">
            <v>953</v>
          </cell>
          <cell r="J208">
            <v>1006</v>
          </cell>
          <cell r="K208">
            <v>953</v>
          </cell>
          <cell r="L208">
            <v>741</v>
          </cell>
          <cell r="M208">
            <v>636</v>
          </cell>
          <cell r="N208">
            <v>689</v>
          </cell>
          <cell r="O208">
            <v>636</v>
          </cell>
          <cell r="P208">
            <v>952</v>
          </cell>
          <cell r="Q208">
            <v>855</v>
          </cell>
          <cell r="R208">
            <v>810</v>
          </cell>
          <cell r="S208">
            <v>955</v>
          </cell>
          <cell r="T208">
            <v>768</v>
          </cell>
        </row>
        <row r="209">
          <cell r="A209" t="str">
            <v>PCs</v>
          </cell>
          <cell r="B209" t="str">
            <v>Speechline/ Keyline</v>
          </cell>
          <cell r="C209" t="str">
            <v>WSS</v>
          </cell>
          <cell r="D209" t="str">
            <v>Actual</v>
          </cell>
          <cell r="E209">
            <v>185891</v>
          </cell>
          <cell r="F209">
            <v>183846</v>
          </cell>
          <cell r="G209">
            <v>181109</v>
          </cell>
          <cell r="H209">
            <v>178603</v>
          </cell>
          <cell r="I209">
            <v>177322</v>
          </cell>
          <cell r="J209">
            <v>174893</v>
          </cell>
          <cell r="K209">
            <v>173157</v>
          </cell>
          <cell r="L209">
            <v>172237</v>
          </cell>
          <cell r="M209">
            <v>169743</v>
          </cell>
          <cell r="N209">
            <v>167974</v>
          </cell>
          <cell r="O209">
            <v>164962</v>
          </cell>
          <cell r="P209">
            <v>161687</v>
          </cell>
          <cell r="Q209">
            <v>160070</v>
          </cell>
          <cell r="R209">
            <v>158410</v>
          </cell>
          <cell r="S209">
            <v>155477</v>
          </cell>
          <cell r="T209">
            <v>153054</v>
          </cell>
        </row>
        <row r="210">
          <cell r="A210" t="str">
            <v>PCs</v>
          </cell>
          <cell r="B210" t="str">
            <v>Speechline/ Keyline</v>
          </cell>
          <cell r="C210" t="str">
            <v>WSS</v>
          </cell>
          <cell r="D210" t="str">
            <v>Budget</v>
          </cell>
          <cell r="E210">
            <v>182822</v>
          </cell>
          <cell r="F210">
            <v>176126</v>
          </cell>
          <cell r="G210">
            <v>169413</v>
          </cell>
          <cell r="H210">
            <v>161982</v>
          </cell>
          <cell r="I210">
            <v>155286</v>
          </cell>
          <cell r="J210">
            <v>148206</v>
          </cell>
          <cell r="K210">
            <v>141510</v>
          </cell>
          <cell r="L210">
            <v>136285</v>
          </cell>
          <cell r="M210">
            <v>131778</v>
          </cell>
          <cell r="N210">
            <v>126921</v>
          </cell>
          <cell r="O210">
            <v>122431</v>
          </cell>
          <cell r="P210">
            <v>115723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Qtrly 4cast"/>
      <sheetName val="Summ Mthly Avg"/>
      <sheetName val="Q1 Forecast"/>
      <sheetName val="Q2 Forecast"/>
      <sheetName val="Q3 Forecast"/>
      <sheetName val="Q4 Forecast"/>
      <sheetName val="Actuals Mthly"/>
      <sheetName val="Actuals Wkly"/>
      <sheetName val="Dashboard1"/>
      <sheetName val="Hydraulics"/>
      <sheetName val="UFT"/>
      <sheetName val="BTNI"/>
      <sheetName val="Model_Comp"/>
      <sheetName val="Reforecast"/>
      <sheetName val="Model"/>
    </sheetNames>
    <sheetDataSet>
      <sheetData sheetId="0" refreshError="1"/>
      <sheetData sheetId="1" refreshError="1"/>
      <sheetData sheetId="2">
        <row r="16">
          <cell r="A16">
            <v>0</v>
          </cell>
        </row>
        <row r="23">
          <cell r="A23">
            <v>0.62000000000000011</v>
          </cell>
        </row>
        <row r="24">
          <cell r="A24">
            <v>0.53749999999999998</v>
          </cell>
        </row>
        <row r="25">
          <cell r="A25">
            <v>0.34400000000000003</v>
          </cell>
        </row>
        <row r="49">
          <cell r="A49">
            <v>0.2</v>
          </cell>
        </row>
        <row r="50">
          <cell r="A50">
            <v>1</v>
          </cell>
        </row>
        <row r="51">
          <cell r="A51">
            <v>0.67</v>
          </cell>
        </row>
        <row r="54">
          <cell r="A54">
            <v>0.8</v>
          </cell>
        </row>
        <row r="55">
          <cell r="A55">
            <v>0.75</v>
          </cell>
        </row>
        <row r="56">
          <cell r="A56">
            <v>0.7</v>
          </cell>
        </row>
        <row r="57">
          <cell r="A57">
            <v>0.5</v>
          </cell>
        </row>
      </sheetData>
      <sheetData sheetId="3">
        <row r="23">
          <cell r="A23">
            <v>0.5</v>
          </cell>
        </row>
        <row r="24">
          <cell r="A24">
            <v>0.4</v>
          </cell>
        </row>
        <row r="36">
          <cell r="A36">
            <v>0.60100376411543288</v>
          </cell>
        </row>
        <row r="37">
          <cell r="A37">
            <v>0.46659707724425886</v>
          </cell>
        </row>
      </sheetData>
      <sheetData sheetId="4">
        <row r="23">
          <cell r="A23">
            <v>0.5</v>
          </cell>
        </row>
        <row r="24">
          <cell r="A24">
            <v>0.4</v>
          </cell>
        </row>
        <row r="36">
          <cell r="A36">
            <v>0.60100376411543288</v>
          </cell>
        </row>
        <row r="37">
          <cell r="A37">
            <v>0.46659707724425886</v>
          </cell>
        </row>
      </sheetData>
      <sheetData sheetId="5">
        <row r="23">
          <cell r="A23">
            <v>0.5</v>
          </cell>
        </row>
        <row r="24">
          <cell r="A24">
            <v>0.4</v>
          </cell>
        </row>
        <row r="36">
          <cell r="A36">
            <v>0.60100376411543288</v>
          </cell>
        </row>
        <row r="37">
          <cell r="A37">
            <v>0.46659707724425886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0">
          <cell r="B20">
            <v>0.3</v>
          </cell>
        </row>
      </sheetData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HO"/>
      <sheetName val="Q4 Costs"/>
      <sheetName val="Q3 Costs"/>
      <sheetName val="Q2 Costs"/>
      <sheetName val="Q1 Costs"/>
      <sheetName val="FullYear Costs"/>
      <sheetName val="ProductList"/>
      <sheetName val="Q2 CC"/>
      <sheetName val="recon_acquis"/>
      <sheetName val="Base Split"/>
    </sheetNames>
    <sheetDataSet>
      <sheetData sheetId="0" refreshError="1">
        <row r="111">
          <cell r="R111" t="str">
            <v>call stim</v>
          </cell>
          <cell r="S111">
            <v>54</v>
          </cell>
        </row>
        <row r="112">
          <cell r="R112" t="str">
            <v>service</v>
          </cell>
          <cell r="S112">
            <v>36</v>
          </cell>
        </row>
        <row r="113">
          <cell r="R113" t="str">
            <v>btaccess</v>
          </cell>
          <cell r="S113">
            <v>18</v>
          </cell>
        </row>
        <row r="124">
          <cell r="S124">
            <v>108</v>
          </cell>
        </row>
        <row r="130">
          <cell r="R130" t="str">
            <v>nat w/end</v>
          </cell>
          <cell r="S130">
            <v>83.25</v>
          </cell>
          <cell r="T130">
            <v>1</v>
          </cell>
        </row>
        <row r="131">
          <cell r="R131" t="str">
            <v>internet pp bus</v>
          </cell>
          <cell r="S131">
            <v>124.875</v>
          </cell>
          <cell r="T131">
            <v>1.5</v>
          </cell>
        </row>
        <row r="132">
          <cell r="R132" t="str">
            <v>big no</v>
          </cell>
          <cell r="S132">
            <v>124.875</v>
          </cell>
          <cell r="T132">
            <v>1.5</v>
          </cell>
        </row>
        <row r="148">
          <cell r="S148">
            <v>0</v>
          </cell>
          <cell r="T148" t="str">
            <v>check</v>
          </cell>
        </row>
        <row r="149">
          <cell r="S149">
            <v>333</v>
          </cell>
        </row>
        <row r="187">
          <cell r="R187" t="str">
            <v>dome</v>
          </cell>
          <cell r="S187">
            <v>33.355000000000004</v>
          </cell>
        </row>
        <row r="188">
          <cell r="R188" t="str">
            <v>2nd line bus</v>
          </cell>
          <cell r="S188">
            <v>33.355000000000004</v>
          </cell>
        </row>
        <row r="189">
          <cell r="R189" t="str">
            <v>highway bus</v>
          </cell>
          <cell r="S189">
            <v>33.355000000000004</v>
          </cell>
        </row>
        <row r="190">
          <cell r="R190" t="str">
            <v>article/service</v>
          </cell>
          <cell r="S190">
            <v>33.355000000000004</v>
          </cell>
        </row>
        <row r="191">
          <cell r="R191" t="str">
            <v>internet service</v>
          </cell>
          <cell r="S191">
            <v>16.677500000000002</v>
          </cell>
        </row>
        <row r="192">
          <cell r="R192" t="str">
            <v>internet pp bus</v>
          </cell>
          <cell r="S192">
            <v>33.355000000000004</v>
          </cell>
        </row>
        <row r="193">
          <cell r="R193" t="str">
            <v>btclick</v>
          </cell>
          <cell r="S193">
            <v>8.338750000000001</v>
          </cell>
        </row>
        <row r="194">
          <cell r="R194" t="str">
            <v>big no</v>
          </cell>
          <cell r="S194">
            <v>50.032500000000006</v>
          </cell>
        </row>
        <row r="195">
          <cell r="R195" t="str">
            <v>CM/PSTN/mob</v>
          </cell>
          <cell r="S195">
            <v>8.338750000000001</v>
          </cell>
        </row>
        <row r="196">
          <cell r="R196" t="str">
            <v>flexinumber</v>
          </cell>
          <cell r="S196">
            <v>16.677500000000002</v>
          </cell>
        </row>
        <row r="203">
          <cell r="S203">
            <v>0</v>
          </cell>
        </row>
        <row r="204">
          <cell r="R204" t="str">
            <v>bus low-tech prod</v>
          </cell>
          <cell r="S204">
            <v>266.84000000000003</v>
          </cell>
        </row>
        <row r="205">
          <cell r="R205" t="str">
            <v>dome</v>
          </cell>
          <cell r="S205">
            <v>7.7399999999999993</v>
          </cell>
        </row>
        <row r="206">
          <cell r="R206" t="str">
            <v>highway bus</v>
          </cell>
          <cell r="S206">
            <v>7.7399999999999993</v>
          </cell>
        </row>
        <row r="207">
          <cell r="R207" t="str">
            <v>article/service</v>
          </cell>
          <cell r="S207">
            <v>7.7399999999999993</v>
          </cell>
        </row>
        <row r="208">
          <cell r="R208" t="str">
            <v>Internet pp bus</v>
          </cell>
          <cell r="S208">
            <v>3.8699999999999997</v>
          </cell>
        </row>
        <row r="209">
          <cell r="R209" t="str">
            <v>btaccess</v>
          </cell>
          <cell r="S209">
            <v>7.7399999999999993</v>
          </cell>
        </row>
        <row r="210">
          <cell r="R210" t="str">
            <v>web build</v>
          </cell>
          <cell r="S210">
            <v>1.9349999999999998</v>
          </cell>
        </row>
        <row r="211">
          <cell r="R211" t="str">
            <v>digicam</v>
          </cell>
          <cell r="S211">
            <v>1.9349999999999998</v>
          </cell>
        </row>
        <row r="212">
          <cell r="R212" t="str">
            <v>internet service</v>
          </cell>
          <cell r="S212">
            <v>7.7399999999999993</v>
          </cell>
        </row>
        <row r="213">
          <cell r="R213" t="str">
            <v>big no</v>
          </cell>
          <cell r="S213">
            <v>11.61</v>
          </cell>
          <cell r="U213" t="str">
            <v>call stim</v>
          </cell>
        </row>
        <row r="214">
          <cell r="R214" t="str">
            <v>CM/PSTN/mob</v>
          </cell>
          <cell r="S214">
            <v>1.9349999999999998</v>
          </cell>
        </row>
        <row r="215">
          <cell r="R215" t="str">
            <v>flexinumber</v>
          </cell>
          <cell r="S215">
            <v>1.9349999999999998</v>
          </cell>
        </row>
        <row r="220">
          <cell r="S220">
            <v>0</v>
          </cell>
        </row>
        <row r="221">
          <cell r="R221" t="str">
            <v>bus hi-tech prod</v>
          </cell>
          <cell r="S221">
            <v>61.919999999999995</v>
          </cell>
        </row>
        <row r="234">
          <cell r="S234">
            <v>0</v>
          </cell>
        </row>
        <row r="254">
          <cell r="S254">
            <v>250</v>
          </cell>
        </row>
        <row r="303">
          <cell r="S303">
            <v>133</v>
          </cell>
        </row>
        <row r="312">
          <cell r="S312">
            <v>26</v>
          </cell>
        </row>
      </sheetData>
      <sheetData sheetId="1" refreshError="1">
        <row r="5">
          <cell r="C5" t="str">
            <v>2nd line bus</v>
          </cell>
          <cell r="D5" t="str">
            <v>2nd Line Bus</v>
          </cell>
          <cell r="E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>
            <v>1.4705882352941178</v>
          </cell>
          <cell r="M5">
            <v>5.154300000000001</v>
          </cell>
          <cell r="N5">
            <v>5.0000000000000009</v>
          </cell>
          <cell r="O5" t="str">
            <v>!!!!!</v>
          </cell>
          <cell r="P5">
            <v>11.624888235294119</v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>
            <v>9.3425605536332164</v>
          </cell>
          <cell r="V5">
            <v>0.65743944636678187</v>
          </cell>
          <cell r="W5">
            <v>0</v>
          </cell>
          <cell r="Y5" t="str">
            <v/>
          </cell>
          <cell r="Z5" t="str">
            <v/>
          </cell>
          <cell r="AA5">
            <v>9.9999999999999982</v>
          </cell>
          <cell r="AB5">
            <v>0.97979411764705904</v>
          </cell>
          <cell r="AC5">
            <v>0</v>
          </cell>
          <cell r="AD5">
            <v>0.44117647058823534</v>
          </cell>
          <cell r="AE5">
            <v>3.1764705882352944</v>
          </cell>
          <cell r="AF5">
            <v>0.58823529411764708</v>
          </cell>
          <cell r="AG5">
            <v>2.9411764705882355</v>
          </cell>
          <cell r="AH5">
            <v>8.1268529411764714</v>
          </cell>
          <cell r="AI5">
            <v>29.751741176470588</v>
          </cell>
        </row>
        <row r="6">
          <cell r="C6" t="str">
            <v>BTT 2nd line res</v>
          </cell>
          <cell r="D6" t="str">
            <v>BTT 2nd Line Res</v>
          </cell>
          <cell r="E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>
            <v>1.4705882352941178</v>
          </cell>
          <cell r="M6">
            <v>5.154300000000001</v>
          </cell>
          <cell r="N6">
            <v>5.0000000000000009</v>
          </cell>
          <cell r="O6" t="str">
            <v>!!!!!</v>
          </cell>
          <cell r="P6">
            <v>11.624888235294119</v>
          </cell>
          <cell r="Q6">
            <v>78.75</v>
          </cell>
          <cell r="R6" t="str">
            <v/>
          </cell>
          <cell r="S6">
            <v>25.103375527426156</v>
          </cell>
          <cell r="T6">
            <v>5.3132911392405058</v>
          </cell>
          <cell r="U6" t="str">
            <v/>
          </cell>
          <cell r="V6" t="str">
            <v/>
          </cell>
          <cell r="W6">
            <v>0</v>
          </cell>
          <cell r="Y6" t="str">
            <v/>
          </cell>
          <cell r="Z6" t="str">
            <v/>
          </cell>
          <cell r="AA6">
            <v>109.16666666666666</v>
          </cell>
          <cell r="AB6">
            <v>0.97979411764705904</v>
          </cell>
          <cell r="AC6">
            <v>0</v>
          </cell>
          <cell r="AD6">
            <v>0.44117647058823534</v>
          </cell>
          <cell r="AE6">
            <v>3.1764705882352944</v>
          </cell>
          <cell r="AF6">
            <v>0.58823529411764708</v>
          </cell>
          <cell r="AG6">
            <v>2.9411764705882355</v>
          </cell>
          <cell r="AH6">
            <v>8.1268529411764714</v>
          </cell>
          <cell r="AI6">
            <v>128.91840784313726</v>
          </cell>
        </row>
        <row r="7">
          <cell r="C7" t="str">
            <v>prof 2nd line res</v>
          </cell>
          <cell r="D7" t="str">
            <v>Prof 2nd Line Res</v>
          </cell>
          <cell r="E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M7">
            <v>0</v>
          </cell>
          <cell r="N7">
            <v>0</v>
          </cell>
          <cell r="O7" t="str">
            <v>!!!!!</v>
          </cell>
          <cell r="P7">
            <v>0</v>
          </cell>
          <cell r="Q7">
            <v>0</v>
          </cell>
          <cell r="R7" t="str">
            <v/>
          </cell>
          <cell r="S7">
            <v>0</v>
          </cell>
          <cell r="T7">
            <v>0</v>
          </cell>
          <cell r="U7" t="str">
            <v/>
          </cell>
          <cell r="V7" t="str">
            <v/>
          </cell>
          <cell r="W7">
            <v>0</v>
          </cell>
          <cell r="Y7" t="str">
            <v/>
          </cell>
          <cell r="Z7" t="str">
            <v/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</row>
        <row r="8">
          <cell r="C8" t="str">
            <v>highway bus</v>
          </cell>
          <cell r="D8" t="str">
            <v>Highway Business</v>
          </cell>
          <cell r="E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>
            <v>1.4705882352941178</v>
          </cell>
          <cell r="M8">
            <v>5.154300000000001</v>
          </cell>
          <cell r="N8">
            <v>5.0000000000000009</v>
          </cell>
          <cell r="O8" t="str">
            <v>!!!!!</v>
          </cell>
          <cell r="P8">
            <v>11.624888235294119</v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>
            <v>9.3425605536332164</v>
          </cell>
          <cell r="V8">
            <v>0.65743944636678187</v>
          </cell>
          <cell r="W8">
            <v>0</v>
          </cell>
          <cell r="Y8" t="str">
            <v/>
          </cell>
          <cell r="Z8" t="str">
            <v/>
          </cell>
          <cell r="AA8">
            <v>9.9999999999999982</v>
          </cell>
          <cell r="AB8">
            <v>0.97979411764705904</v>
          </cell>
          <cell r="AC8">
            <v>0</v>
          </cell>
          <cell r="AD8">
            <v>0.44117647058823534</v>
          </cell>
          <cell r="AE8">
            <v>3.1764705882352944</v>
          </cell>
          <cell r="AF8">
            <v>0.58823529411764708</v>
          </cell>
          <cell r="AG8">
            <v>2.9411764705882355</v>
          </cell>
          <cell r="AH8">
            <v>8.1268529411764714</v>
          </cell>
          <cell r="AI8">
            <v>29.751741176470588</v>
          </cell>
        </row>
        <row r="9">
          <cell r="C9" t="str">
            <v>BTT highway res</v>
          </cell>
          <cell r="D9" t="str">
            <v>BTT Highway Home (Res)</v>
          </cell>
          <cell r="E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>
            <v>1.4705882352941178</v>
          </cell>
          <cell r="M9">
            <v>5.154300000000001</v>
          </cell>
          <cell r="N9">
            <v>5.0000000000000009</v>
          </cell>
          <cell r="O9" t="str">
            <v>!!!!!</v>
          </cell>
          <cell r="P9">
            <v>11.624888235294119</v>
          </cell>
          <cell r="Q9">
            <v>78.75</v>
          </cell>
          <cell r="R9" t="str">
            <v/>
          </cell>
          <cell r="S9">
            <v>25.103375527426156</v>
          </cell>
          <cell r="T9">
            <v>5.3132911392405058</v>
          </cell>
          <cell r="U9" t="str">
            <v/>
          </cell>
          <cell r="V9" t="str">
            <v/>
          </cell>
          <cell r="W9">
            <v>0</v>
          </cell>
          <cell r="Y9" t="str">
            <v/>
          </cell>
          <cell r="Z9" t="str">
            <v/>
          </cell>
          <cell r="AA9">
            <v>109.16666666666666</v>
          </cell>
          <cell r="AB9">
            <v>0.97979411764705904</v>
          </cell>
          <cell r="AC9">
            <v>0</v>
          </cell>
          <cell r="AD9">
            <v>0.44117647058823534</v>
          </cell>
          <cell r="AE9">
            <v>3.1764705882352944</v>
          </cell>
          <cell r="AF9">
            <v>0.58823529411764708</v>
          </cell>
          <cell r="AG9">
            <v>2.9411764705882355</v>
          </cell>
          <cell r="AH9">
            <v>8.1268529411764714</v>
          </cell>
          <cell r="AI9">
            <v>128.91840784313726</v>
          </cell>
        </row>
        <row r="10">
          <cell r="C10" t="str">
            <v>prof highway res</v>
          </cell>
          <cell r="D10" t="str">
            <v>Prof Highway Home (Res)</v>
          </cell>
          <cell r="E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M10">
            <v>0</v>
          </cell>
          <cell r="N10">
            <v>0</v>
          </cell>
          <cell r="O10" t="str">
            <v>!!!!!</v>
          </cell>
          <cell r="P10">
            <v>0</v>
          </cell>
          <cell r="Q10">
            <v>0</v>
          </cell>
          <cell r="R10" t="str">
            <v/>
          </cell>
          <cell r="S10">
            <v>0</v>
          </cell>
          <cell r="T10">
            <v>0</v>
          </cell>
          <cell r="U10" t="str">
            <v/>
          </cell>
          <cell r="V10" t="str">
            <v/>
          </cell>
          <cell r="W10">
            <v>0</v>
          </cell>
          <cell r="Y10" t="str">
            <v/>
          </cell>
          <cell r="Z10" t="str">
            <v/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</row>
        <row r="11">
          <cell r="C11" t="str">
            <v>btclick</v>
          </cell>
          <cell r="D11" t="str">
            <v>BTClick</v>
          </cell>
          <cell r="E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>
            <v>2.9411764705882355</v>
          </cell>
          <cell r="M11">
            <v>10.308600000000002</v>
          </cell>
          <cell r="N11">
            <v>10.000000000000002</v>
          </cell>
          <cell r="O11" t="str">
            <v>!!!!!</v>
          </cell>
          <cell r="P11">
            <v>23.249776470588237</v>
          </cell>
          <cell r="Q11" t="str">
            <v/>
          </cell>
          <cell r="R11" t="str">
            <v/>
          </cell>
          <cell r="S11">
            <v>15.062025316455696</v>
          </cell>
          <cell r="T11" t="str">
            <v/>
          </cell>
          <cell r="U11">
            <v>5.6055363321799305</v>
          </cell>
          <cell r="V11" t="str">
            <v/>
          </cell>
          <cell r="W11">
            <v>0</v>
          </cell>
          <cell r="Y11" t="str">
            <v/>
          </cell>
          <cell r="Z11" t="str">
            <v/>
          </cell>
          <cell r="AA11">
            <v>20.667561648635626</v>
          </cell>
          <cell r="AB11">
            <v>1.9595882352941181</v>
          </cell>
          <cell r="AC11">
            <v>0</v>
          </cell>
          <cell r="AD11">
            <v>0.88235294117647067</v>
          </cell>
          <cell r="AE11">
            <v>6.3529411764705888</v>
          </cell>
          <cell r="AF11">
            <v>1.1764705882352942</v>
          </cell>
          <cell r="AG11">
            <v>5.882352941176471</v>
          </cell>
          <cell r="AH11">
            <v>16.253705882352943</v>
          </cell>
          <cell r="AI11">
            <v>60.171044001576803</v>
          </cell>
        </row>
        <row r="12">
          <cell r="C12" t="str">
            <v>btaccess</v>
          </cell>
          <cell r="D12" t="str">
            <v>BTAccess</v>
          </cell>
          <cell r="E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>
            <v>2.9411764705882355</v>
          </cell>
          <cell r="M12">
            <v>10.308600000000002</v>
          </cell>
          <cell r="N12">
            <v>10.000000000000002</v>
          </cell>
          <cell r="O12" t="str">
            <v>!!!!!</v>
          </cell>
          <cell r="P12">
            <v>23.249776470588237</v>
          </cell>
          <cell r="Q12" t="str">
            <v/>
          </cell>
          <cell r="R12" t="str">
            <v/>
          </cell>
          <cell r="S12">
            <v>3.7655063291139239</v>
          </cell>
          <cell r="T12">
            <v>3.9849683544303796</v>
          </cell>
          <cell r="U12">
            <v>1.4013840830449826</v>
          </cell>
          <cell r="V12">
            <v>0.49307958477508645</v>
          </cell>
          <cell r="W12">
            <v>0</v>
          </cell>
          <cell r="Y12" t="str">
            <v/>
          </cell>
          <cell r="Z12" t="str">
            <v/>
          </cell>
          <cell r="AA12">
            <v>9.6449383513643721</v>
          </cell>
          <cell r="AB12">
            <v>1.9595882352941181</v>
          </cell>
          <cell r="AC12">
            <v>0</v>
          </cell>
          <cell r="AD12">
            <v>0.88235294117647067</v>
          </cell>
          <cell r="AE12">
            <v>6.3529411764705888</v>
          </cell>
          <cell r="AF12">
            <v>1.1764705882352942</v>
          </cell>
          <cell r="AG12">
            <v>5.882352941176471</v>
          </cell>
          <cell r="AH12">
            <v>16.253705882352943</v>
          </cell>
          <cell r="AI12">
            <v>49.148420704305551</v>
          </cell>
        </row>
        <row r="13">
          <cell r="C13" t="str">
            <v>cellnet first</v>
          </cell>
          <cell r="D13" t="str">
            <v>Cellnet First</v>
          </cell>
          <cell r="E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>
            <v>2.9411764705882355</v>
          </cell>
          <cell r="M13">
            <v>10.308600000000002</v>
          </cell>
          <cell r="N13">
            <v>10.000000000000002</v>
          </cell>
          <cell r="O13" t="str">
            <v>!!!!!</v>
          </cell>
          <cell r="P13">
            <v>23.249776470588237</v>
          </cell>
          <cell r="Q13">
            <v>39.375</v>
          </cell>
          <cell r="R13">
            <v>0</v>
          </cell>
          <cell r="S13">
            <v>50.206751054852312</v>
          </cell>
          <cell r="T13">
            <v>10.626582278481012</v>
          </cell>
          <cell r="U13">
            <v>18.685121107266433</v>
          </cell>
          <cell r="V13">
            <v>1.3148788927335637</v>
          </cell>
          <cell r="W13">
            <v>0</v>
          </cell>
          <cell r="Y13" t="str">
            <v/>
          </cell>
          <cell r="Z13" t="str">
            <v/>
          </cell>
          <cell r="AA13">
            <v>120.20833333333331</v>
          </cell>
          <cell r="AB13">
            <v>1.9595882352941181</v>
          </cell>
          <cell r="AC13">
            <v>0</v>
          </cell>
          <cell r="AD13">
            <v>0.88235294117647067</v>
          </cell>
          <cell r="AE13">
            <v>6.3529411764705888</v>
          </cell>
          <cell r="AF13">
            <v>1.1764705882352942</v>
          </cell>
          <cell r="AG13">
            <v>5.882352941176471</v>
          </cell>
          <cell r="AH13">
            <v>16.253705882352943</v>
          </cell>
          <cell r="AI13">
            <v>159.71181568627449</v>
          </cell>
        </row>
        <row r="14">
          <cell r="C14" t="str">
            <v>bus pay&amp;go</v>
          </cell>
          <cell r="D14" t="str">
            <v>Cellnet Business Pay &amp; Go</v>
          </cell>
          <cell r="E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>!!!!!</v>
          </cell>
          <cell r="P14">
            <v>0</v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>
            <v>0</v>
          </cell>
          <cell r="Y14" t="str">
            <v/>
          </cell>
          <cell r="Z14" t="str">
            <v/>
          </cell>
          <cell r="AA14">
            <v>0</v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>
            <v>0</v>
          </cell>
          <cell r="AI14">
            <v>0</v>
          </cell>
        </row>
        <row r="15">
          <cell r="C15" t="str">
            <v>res pay&amp;go</v>
          </cell>
          <cell r="D15" t="str">
            <v>Cellnet Pay &amp; Go (Res)</v>
          </cell>
          <cell r="E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>!!!!!</v>
          </cell>
          <cell r="P15">
            <v>0</v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>
            <v>0</v>
          </cell>
          <cell r="Y15" t="str">
            <v/>
          </cell>
          <cell r="Z15" t="str">
            <v/>
          </cell>
          <cell r="AA15">
            <v>0</v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>
            <v>0</v>
          </cell>
          <cell r="AI15">
            <v>0</v>
          </cell>
        </row>
        <row r="16">
          <cell r="C16" t="str">
            <v>diverse 2010</v>
          </cell>
          <cell r="D16" t="str">
            <v>Diverse 2010 Phone (IB Call Driver)</v>
          </cell>
          <cell r="E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>
            <v>0</v>
          </cell>
          <cell r="M16">
            <v>0</v>
          </cell>
          <cell r="N16">
            <v>0</v>
          </cell>
          <cell r="O16" t="str">
            <v>!!!!!</v>
          </cell>
          <cell r="P16">
            <v>0</v>
          </cell>
          <cell r="Q16" t="str">
            <v/>
          </cell>
          <cell r="R16" t="str">
            <v/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Y16" t="str">
            <v/>
          </cell>
          <cell r="Z16" t="str">
            <v/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C17" t="str">
            <v>bt together</v>
          </cell>
          <cell r="D17" t="str">
            <v>BT Together (Res only)</v>
          </cell>
          <cell r="E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>
            <v>2.9411764705882355</v>
          </cell>
          <cell r="M17">
            <v>10.308600000000002</v>
          </cell>
          <cell r="N17">
            <v>10.000000000000002</v>
          </cell>
          <cell r="O17" t="str">
            <v>!!!!!</v>
          </cell>
          <cell r="P17">
            <v>23.249776470588237</v>
          </cell>
          <cell r="Q17">
            <v>433.125</v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>
            <v>0</v>
          </cell>
          <cell r="Y17" t="str">
            <v/>
          </cell>
          <cell r="Z17" t="str">
            <v/>
          </cell>
          <cell r="AA17">
            <v>433.125</v>
          </cell>
          <cell r="AB17">
            <v>1.9595882352941181</v>
          </cell>
          <cell r="AC17">
            <v>0</v>
          </cell>
          <cell r="AD17">
            <v>0.88235294117647067</v>
          </cell>
          <cell r="AE17">
            <v>6.3529411764705888</v>
          </cell>
          <cell r="AF17">
            <v>1.1764705882352942</v>
          </cell>
          <cell r="AG17">
            <v>5.882352941176471</v>
          </cell>
          <cell r="AH17">
            <v>16.253705882352943</v>
          </cell>
          <cell r="AI17">
            <v>472.62848235294121</v>
          </cell>
        </row>
        <row r="18">
          <cell r="C18" t="str">
            <v>dart prof</v>
          </cell>
          <cell r="D18" t="str">
            <v>DART Professional</v>
          </cell>
          <cell r="E18" t="str">
            <v/>
          </cell>
          <cell r="G18" t="str">
            <v/>
          </cell>
          <cell r="H18">
            <v>0</v>
          </cell>
          <cell r="I18" t="str">
            <v/>
          </cell>
          <cell r="J18" t="str">
            <v/>
          </cell>
          <cell r="K18" t="str">
            <v/>
          </cell>
          <cell r="M18">
            <v>0</v>
          </cell>
          <cell r="N18">
            <v>0</v>
          </cell>
          <cell r="O18" t="str">
            <v>!!!!!</v>
          </cell>
          <cell r="P18">
            <v>0</v>
          </cell>
          <cell r="Q18">
            <v>0</v>
          </cell>
          <cell r="R18">
            <v>0</v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>
            <v>0</v>
          </cell>
          <cell r="Y18" t="str">
            <v/>
          </cell>
          <cell r="Z18" t="str">
            <v/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C19" t="str">
            <v>web build</v>
          </cell>
          <cell r="D19" t="str">
            <v>Website Build</v>
          </cell>
          <cell r="E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>
            <v>2.9411764705882355</v>
          </cell>
          <cell r="M19">
            <v>110.3086</v>
          </cell>
          <cell r="N19">
            <v>10.000000000000002</v>
          </cell>
          <cell r="O19" t="str">
            <v>!!!!!</v>
          </cell>
          <cell r="P19">
            <v>123.24977647058823</v>
          </cell>
          <cell r="Q19" t="str">
            <v/>
          </cell>
          <cell r="R19" t="str">
            <v/>
          </cell>
          <cell r="S19" t="str">
            <v/>
          </cell>
          <cell r="T19">
            <v>3.9849683544303796</v>
          </cell>
          <cell r="U19" t="str">
            <v/>
          </cell>
          <cell r="V19">
            <v>0.49307958477508645</v>
          </cell>
          <cell r="W19">
            <v>0</v>
          </cell>
          <cell r="Y19" t="str">
            <v/>
          </cell>
          <cell r="Z19" t="str">
            <v/>
          </cell>
          <cell r="AA19">
            <v>4.4780479392054664</v>
          </cell>
          <cell r="AB19">
            <v>1.9595882352941181</v>
          </cell>
          <cell r="AC19">
            <v>0</v>
          </cell>
          <cell r="AD19">
            <v>0.88235294117647067</v>
          </cell>
          <cell r="AE19">
            <v>6.3529411764705888</v>
          </cell>
          <cell r="AF19">
            <v>1.1764705882352942</v>
          </cell>
          <cell r="AG19">
            <v>5.882352941176471</v>
          </cell>
          <cell r="AH19">
            <v>16.253705882352943</v>
          </cell>
          <cell r="AI19">
            <v>143.98153029214663</v>
          </cell>
        </row>
        <row r="20">
          <cell r="C20" t="str">
            <v>pc</v>
          </cell>
          <cell r="D20" t="str">
            <v>PC Deal</v>
          </cell>
          <cell r="E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>!!!!!</v>
          </cell>
          <cell r="P20">
            <v>0</v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>
            <v>0</v>
          </cell>
          <cell r="Y20" t="str">
            <v/>
          </cell>
          <cell r="Z20" t="str">
            <v/>
          </cell>
          <cell r="AA20">
            <v>0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0</v>
          </cell>
          <cell r="AI20">
            <v>0</v>
          </cell>
        </row>
        <row r="21">
          <cell r="C21" t="str">
            <v>big no</v>
          </cell>
          <cell r="D21" t="str">
            <v>Big Number (Service)</v>
          </cell>
          <cell r="E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>
            <v>2.9411764705882355</v>
          </cell>
          <cell r="M21">
            <v>10.308600000000002</v>
          </cell>
          <cell r="N21">
            <v>10.000000000000002</v>
          </cell>
          <cell r="O21" t="str">
            <v>!!!!!</v>
          </cell>
          <cell r="P21">
            <v>23.249776470588237</v>
          </cell>
          <cell r="Q21">
            <v>0</v>
          </cell>
          <cell r="R21">
            <v>0</v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>
            <v>0</v>
          </cell>
          <cell r="Y21" t="str">
            <v/>
          </cell>
          <cell r="Z21" t="str">
            <v/>
          </cell>
          <cell r="AA21">
            <v>0</v>
          </cell>
          <cell r="AB21">
            <v>1.9595882352941181</v>
          </cell>
          <cell r="AC21">
            <v>0</v>
          </cell>
          <cell r="AD21">
            <v>0.88235294117647067</v>
          </cell>
          <cell r="AE21">
            <v>6.3529411764705888</v>
          </cell>
          <cell r="AF21">
            <v>1.1764705882352942</v>
          </cell>
          <cell r="AG21">
            <v>5.882352941176471</v>
          </cell>
          <cell r="AH21">
            <v>16.253705882352943</v>
          </cell>
          <cell r="AI21">
            <v>39.503482352941177</v>
          </cell>
        </row>
        <row r="22">
          <cell r="C22" t="str">
            <v>call minder</v>
          </cell>
          <cell r="D22" t="str">
            <v>Call Minder</v>
          </cell>
          <cell r="E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>
            <v>2.9411764705882355</v>
          </cell>
          <cell r="M22">
            <v>10.308600000000002</v>
          </cell>
          <cell r="N22">
            <v>10.000000000000002</v>
          </cell>
          <cell r="O22" t="str">
            <v>!!!!!</v>
          </cell>
          <cell r="P22">
            <v>23.249776470588237</v>
          </cell>
          <cell r="Q22" t="str">
            <v/>
          </cell>
          <cell r="R22" t="str">
            <v/>
          </cell>
          <cell r="S22">
            <v>50.206751054852312</v>
          </cell>
          <cell r="T22">
            <v>10.626582278481012</v>
          </cell>
          <cell r="U22">
            <v>18.685121107266433</v>
          </cell>
          <cell r="V22">
            <v>1.3148788927335637</v>
          </cell>
          <cell r="W22">
            <v>0</v>
          </cell>
          <cell r="Y22" t="str">
            <v/>
          </cell>
          <cell r="Z22" t="str">
            <v/>
          </cell>
          <cell r="AA22">
            <v>80.833333333333314</v>
          </cell>
          <cell r="AB22">
            <v>1.9595882352941181</v>
          </cell>
          <cell r="AC22">
            <v>0</v>
          </cell>
          <cell r="AD22">
            <v>0.88235294117647067</v>
          </cell>
          <cell r="AE22">
            <v>6.3529411764705888</v>
          </cell>
          <cell r="AF22">
            <v>1.1764705882352942</v>
          </cell>
          <cell r="AG22">
            <v>5.882352941176471</v>
          </cell>
          <cell r="AH22">
            <v>16.253705882352943</v>
          </cell>
          <cell r="AI22">
            <v>120.33681568627451</v>
          </cell>
        </row>
        <row r="23">
          <cell r="C23" t="str">
            <v>hub</v>
          </cell>
          <cell r="D23" t="str">
            <v>The Hub Signpost (Service)</v>
          </cell>
          <cell r="E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>!!!!!</v>
          </cell>
          <cell r="P23">
            <v>0</v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>
            <v>0</v>
          </cell>
          <cell r="Y23" t="str">
            <v/>
          </cell>
          <cell r="Z23" t="str">
            <v/>
          </cell>
          <cell r="AA23">
            <v>0</v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>
            <v>0</v>
          </cell>
          <cell r="AI23">
            <v>0</v>
          </cell>
        </row>
        <row r="24">
          <cell r="C24" t="str">
            <v>easicom</v>
          </cell>
          <cell r="D24" t="str">
            <v>Easicom 1000</v>
          </cell>
          <cell r="E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>
            <v>2.9411764705882355</v>
          </cell>
          <cell r="M24">
            <v>10.308600000000002</v>
          </cell>
          <cell r="N24">
            <v>10.000000000000002</v>
          </cell>
          <cell r="O24" t="str">
            <v>!!!!!</v>
          </cell>
          <cell r="P24">
            <v>23.249776470588237</v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>
            <v>0</v>
          </cell>
          <cell r="Y24" t="str">
            <v/>
          </cell>
          <cell r="Z24" t="str">
            <v/>
          </cell>
          <cell r="AA24">
            <v>0</v>
          </cell>
          <cell r="AB24">
            <v>1.9595882352941181</v>
          </cell>
          <cell r="AC24">
            <v>0</v>
          </cell>
          <cell r="AD24">
            <v>0.88235294117647067</v>
          </cell>
          <cell r="AE24">
            <v>6.3529411764705888</v>
          </cell>
          <cell r="AF24">
            <v>1.1764705882352942</v>
          </cell>
          <cell r="AG24">
            <v>5.882352941176471</v>
          </cell>
          <cell r="AH24">
            <v>16.253705882352943</v>
          </cell>
          <cell r="AI24">
            <v>39.503482352941177</v>
          </cell>
        </row>
        <row r="25">
          <cell r="C25" t="str">
            <v>calling pp</v>
          </cell>
          <cell r="D25" t="str">
            <v>Price Points - IDD, National, Local &amp; Mobile</v>
          </cell>
          <cell r="E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>!!!!!</v>
          </cell>
          <cell r="P25">
            <v>0</v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>
            <v>0</v>
          </cell>
          <cell r="Y25" t="str">
            <v/>
          </cell>
          <cell r="Z25" t="str">
            <v/>
          </cell>
          <cell r="AA25">
            <v>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>
            <v>0</v>
          </cell>
          <cell r="AI25">
            <v>0</v>
          </cell>
        </row>
        <row r="26">
          <cell r="C26" t="str">
            <v>future talk mag</v>
          </cell>
          <cell r="D26" t="str">
            <v>Future Talk Magazine</v>
          </cell>
          <cell r="E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>
            <v>2.9411764705882355</v>
          </cell>
          <cell r="M26">
            <v>10.308600000000002</v>
          </cell>
          <cell r="N26">
            <v>10.000000000000002</v>
          </cell>
          <cell r="O26" t="str">
            <v>!!!!!</v>
          </cell>
          <cell r="P26">
            <v>23.249776470588237</v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>
            <v>0</v>
          </cell>
          <cell r="Y26" t="str">
            <v/>
          </cell>
          <cell r="Z26" t="str">
            <v/>
          </cell>
          <cell r="AA26">
            <v>0</v>
          </cell>
          <cell r="AB26">
            <v>1.9595882352941181</v>
          </cell>
          <cell r="AC26">
            <v>0</v>
          </cell>
          <cell r="AD26">
            <v>0.88235294117647067</v>
          </cell>
          <cell r="AE26">
            <v>6.3529411764705888</v>
          </cell>
          <cell r="AF26">
            <v>1.1764705882352942</v>
          </cell>
          <cell r="AG26">
            <v>5.882352941176471</v>
          </cell>
          <cell r="AH26">
            <v>16.253705882352943</v>
          </cell>
          <cell r="AI26">
            <v>39.503482352941177</v>
          </cell>
        </row>
        <row r="27">
          <cell r="C27" t="str">
            <v>timesmart</v>
          </cell>
          <cell r="D27" t="str">
            <v>Timesmart (article / service)</v>
          </cell>
          <cell r="E27">
            <v>1000</v>
          </cell>
          <cell r="G27">
            <v>500</v>
          </cell>
          <cell r="H27">
            <v>300</v>
          </cell>
          <cell r="I27" t="str">
            <v/>
          </cell>
          <cell r="J27" t="str">
            <v/>
          </cell>
          <cell r="K27">
            <v>200</v>
          </cell>
          <cell r="L27">
            <v>2.9411764705882355</v>
          </cell>
          <cell r="M27">
            <v>185.55480000000003</v>
          </cell>
          <cell r="N27">
            <v>10.000000000000002</v>
          </cell>
          <cell r="O27" t="str">
            <v>!!!!!</v>
          </cell>
          <cell r="P27">
            <v>2198.4959764705882</v>
          </cell>
          <cell r="Q27" t="str">
            <v/>
          </cell>
          <cell r="R27" t="str">
            <v/>
          </cell>
          <cell r="S27">
            <v>357.72310126582272</v>
          </cell>
          <cell r="T27">
            <v>79.699367088607588</v>
          </cell>
          <cell r="U27">
            <v>133.13148788927336</v>
          </cell>
          <cell r="V27">
            <v>9.8615916955017298</v>
          </cell>
          <cell r="W27">
            <v>0</v>
          </cell>
          <cell r="Y27" t="str">
            <v/>
          </cell>
          <cell r="Z27" t="str">
            <v/>
          </cell>
          <cell r="AA27">
            <v>580.41554793920534</v>
          </cell>
          <cell r="AB27">
            <v>1.9595882352941181</v>
          </cell>
          <cell r="AC27">
            <v>0</v>
          </cell>
          <cell r="AD27">
            <v>0.88235294117647067</v>
          </cell>
          <cell r="AE27">
            <v>6.3529411764705888</v>
          </cell>
          <cell r="AF27">
            <v>1.1764705882352942</v>
          </cell>
          <cell r="AG27">
            <v>5.882352941176471</v>
          </cell>
          <cell r="AH27">
            <v>16.253705882352943</v>
          </cell>
          <cell r="AI27">
            <v>2795.1652302921461</v>
          </cell>
        </row>
        <row r="28">
          <cell r="C28" t="str">
            <v>enhanced CR</v>
          </cell>
          <cell r="D28" t="str">
            <v>Enhanced Caller Return</v>
          </cell>
          <cell r="E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>
            <v>2.9411764705882355</v>
          </cell>
          <cell r="M28">
            <v>10.308600000000002</v>
          </cell>
          <cell r="N28">
            <v>10.000000000000002</v>
          </cell>
          <cell r="O28" t="str">
            <v>!!!!!</v>
          </cell>
          <cell r="P28">
            <v>23.249776470588237</v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>
            <v>0</v>
          </cell>
          <cell r="Y28" t="str">
            <v/>
          </cell>
          <cell r="Z28" t="str">
            <v/>
          </cell>
          <cell r="AA28">
            <v>0</v>
          </cell>
          <cell r="AB28">
            <v>1.9595882352941181</v>
          </cell>
          <cell r="AC28">
            <v>0</v>
          </cell>
          <cell r="AD28">
            <v>0.88235294117647067</v>
          </cell>
          <cell r="AE28">
            <v>6.3529411764705888</v>
          </cell>
          <cell r="AF28">
            <v>1.1764705882352942</v>
          </cell>
          <cell r="AG28">
            <v>5.882352941176471</v>
          </cell>
          <cell r="AH28">
            <v>16.253705882352943</v>
          </cell>
          <cell r="AI28">
            <v>39.503482352941177</v>
          </cell>
        </row>
        <row r="29">
          <cell r="C29" t="str">
            <v>buynet - travel</v>
          </cell>
          <cell r="D29" t="str">
            <v>Buynet - travel</v>
          </cell>
          <cell r="E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N29" t="str">
            <v/>
          </cell>
          <cell r="O29" t="str">
            <v>!!!!!</v>
          </cell>
          <cell r="P29">
            <v>0</v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>
            <v>0</v>
          </cell>
          <cell r="Y29" t="str">
            <v/>
          </cell>
          <cell r="Z29" t="str">
            <v/>
          </cell>
          <cell r="AA29">
            <v>0</v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>
            <v>0</v>
          </cell>
          <cell r="AI29">
            <v>0</v>
          </cell>
        </row>
        <row r="30">
          <cell r="C30" t="str">
            <v>buynet - training</v>
          </cell>
          <cell r="D30" t="str">
            <v>Buynet - IT</v>
          </cell>
          <cell r="E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N30" t="str">
            <v/>
          </cell>
          <cell r="O30" t="str">
            <v>!!!!!</v>
          </cell>
          <cell r="P30">
            <v>0</v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>
            <v>0</v>
          </cell>
          <cell r="Y30" t="str">
            <v/>
          </cell>
          <cell r="Z30" t="str">
            <v/>
          </cell>
          <cell r="AA30">
            <v>0</v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>
            <v>0</v>
          </cell>
          <cell r="AI30">
            <v>0</v>
          </cell>
        </row>
        <row r="31">
          <cell r="C31" t="str">
            <v>buynet - insurance</v>
          </cell>
          <cell r="D31" t="str">
            <v>Buynet - insurance</v>
          </cell>
          <cell r="E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N31" t="str">
            <v/>
          </cell>
          <cell r="O31" t="str">
            <v>!!!!!</v>
          </cell>
          <cell r="P31">
            <v>0</v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>
            <v>0</v>
          </cell>
          <cell r="Y31" t="str">
            <v/>
          </cell>
          <cell r="Z31" t="str">
            <v/>
          </cell>
          <cell r="AA31">
            <v>0</v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>
            <v>0</v>
          </cell>
          <cell r="AI31">
            <v>0</v>
          </cell>
        </row>
        <row r="32">
          <cell r="C32" t="str">
            <v>buynet - furniture</v>
          </cell>
          <cell r="D32" t="str">
            <v>Buynet - office supplies / furniture</v>
          </cell>
          <cell r="E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N32" t="str">
            <v/>
          </cell>
          <cell r="O32" t="str">
            <v>!!!!!</v>
          </cell>
          <cell r="P32">
            <v>0</v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>
            <v>0</v>
          </cell>
          <cell r="Y32" t="str">
            <v/>
          </cell>
          <cell r="Z32" t="str">
            <v/>
          </cell>
          <cell r="AA32">
            <v>0</v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>
            <v>0</v>
          </cell>
          <cell r="AI32">
            <v>0</v>
          </cell>
        </row>
        <row r="33">
          <cell r="C33" t="str">
            <v>buynet - stationery</v>
          </cell>
          <cell r="D33" t="str">
            <v>Buynet - stationery</v>
          </cell>
          <cell r="E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N33" t="str">
            <v/>
          </cell>
          <cell r="O33" t="str">
            <v>!!!!!</v>
          </cell>
          <cell r="P33">
            <v>0</v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>
            <v>0</v>
          </cell>
          <cell r="Y33" t="str">
            <v/>
          </cell>
          <cell r="Z33" t="str">
            <v/>
          </cell>
          <cell r="AA33">
            <v>0</v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>
            <v>0</v>
          </cell>
          <cell r="AI33">
            <v>0</v>
          </cell>
        </row>
        <row r="34">
          <cell r="C34" t="str">
            <v>buynet - energy</v>
          </cell>
          <cell r="D34" t="str">
            <v>Buynet - energy</v>
          </cell>
          <cell r="E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N34" t="str">
            <v/>
          </cell>
          <cell r="O34" t="str">
            <v>!!!!!</v>
          </cell>
          <cell r="P34">
            <v>0</v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>
            <v>0</v>
          </cell>
          <cell r="Y34" t="str">
            <v/>
          </cell>
          <cell r="Z34" t="str">
            <v/>
          </cell>
          <cell r="AA34">
            <v>0</v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>
            <v>0</v>
          </cell>
          <cell r="AI34">
            <v>0</v>
          </cell>
        </row>
        <row r="35">
          <cell r="C35" t="str">
            <v>call stim</v>
          </cell>
          <cell r="D35" t="str">
            <v>Call Stim</v>
          </cell>
          <cell r="E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N35" t="str">
            <v/>
          </cell>
          <cell r="O35" t="str">
            <v>!!!!!</v>
          </cell>
          <cell r="P35">
            <v>0</v>
          </cell>
          <cell r="Q35" t="str">
            <v/>
          </cell>
          <cell r="R35" t="str">
            <v/>
          </cell>
          <cell r="S35">
            <v>75.310126582278471</v>
          </cell>
          <cell r="T35">
            <v>7.9699367088607591</v>
          </cell>
          <cell r="U35">
            <v>28.027681660899653</v>
          </cell>
          <cell r="V35">
            <v>0.98615916955017291</v>
          </cell>
          <cell r="W35">
            <v>0</v>
          </cell>
          <cell r="Y35" t="str">
            <v/>
          </cell>
          <cell r="Z35" t="str">
            <v/>
          </cell>
          <cell r="AA35">
            <v>112.29390412158907</v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>
            <v>0</v>
          </cell>
          <cell r="AI35">
            <v>112.29390412158907</v>
          </cell>
        </row>
        <row r="36">
          <cell r="C36" t="str">
            <v>cellnet one-phone</v>
          </cell>
          <cell r="D36" t="str">
            <v>Cellnet One Phone</v>
          </cell>
          <cell r="E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>
            <v>2.9411764705882355</v>
          </cell>
          <cell r="M36">
            <v>10.308600000000002</v>
          </cell>
          <cell r="N36">
            <v>10.000000000000002</v>
          </cell>
          <cell r="O36" t="str">
            <v>!!!!!</v>
          </cell>
          <cell r="P36">
            <v>23.249776470588237</v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>
            <v>0</v>
          </cell>
          <cell r="Y36" t="str">
            <v/>
          </cell>
          <cell r="Z36" t="str">
            <v/>
          </cell>
          <cell r="AA36">
            <v>0</v>
          </cell>
          <cell r="AB36">
            <v>1.9595882352941181</v>
          </cell>
          <cell r="AC36">
            <v>0</v>
          </cell>
          <cell r="AD36">
            <v>0.88235294117647067</v>
          </cell>
          <cell r="AE36">
            <v>6.3529411764705888</v>
          </cell>
          <cell r="AF36">
            <v>1.1764705882352942</v>
          </cell>
          <cell r="AG36">
            <v>5.882352941176471</v>
          </cell>
          <cell r="AH36">
            <v>16.253705882352943</v>
          </cell>
          <cell r="AI36">
            <v>39.503482352941177</v>
          </cell>
        </row>
        <row r="37">
          <cell r="C37" t="str">
            <v>bt spree</v>
          </cell>
          <cell r="D37" t="str">
            <v>BT Spree / Talk 21 / Change Jobs</v>
          </cell>
          <cell r="E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>
            <v>2.9411764705882355</v>
          </cell>
          <cell r="M37">
            <v>10.308600000000002</v>
          </cell>
          <cell r="N37">
            <v>10.000000000000002</v>
          </cell>
          <cell r="O37" t="str">
            <v>!!!!!</v>
          </cell>
          <cell r="P37">
            <v>23.249776470588237</v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>
            <v>0</v>
          </cell>
          <cell r="Y37" t="str">
            <v/>
          </cell>
          <cell r="Z37" t="str">
            <v/>
          </cell>
          <cell r="AA37">
            <v>0</v>
          </cell>
          <cell r="AB37">
            <v>1.9595882352941181</v>
          </cell>
          <cell r="AC37">
            <v>0</v>
          </cell>
          <cell r="AD37">
            <v>0.88235294117647067</v>
          </cell>
          <cell r="AE37">
            <v>6.3529411764705888</v>
          </cell>
          <cell r="AF37">
            <v>1.1764705882352942</v>
          </cell>
          <cell r="AG37">
            <v>5.882352941176471</v>
          </cell>
          <cell r="AH37">
            <v>16.253705882352943</v>
          </cell>
          <cell r="AI37">
            <v>39.503482352941177</v>
          </cell>
        </row>
        <row r="38">
          <cell r="C38" t="str">
            <v>store centre</v>
          </cell>
          <cell r="D38" t="str">
            <v>Store Centre</v>
          </cell>
          <cell r="E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>
            <v>2.9411764705882355</v>
          </cell>
          <cell r="M38">
            <v>10.308600000000002</v>
          </cell>
          <cell r="N38">
            <v>10.000000000000002</v>
          </cell>
          <cell r="O38" t="str">
            <v>!!!!!</v>
          </cell>
          <cell r="P38">
            <v>23.249776470588237</v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>
            <v>0</v>
          </cell>
          <cell r="Y38" t="str">
            <v/>
          </cell>
          <cell r="Z38" t="str">
            <v/>
          </cell>
          <cell r="AA38">
            <v>0</v>
          </cell>
          <cell r="AB38">
            <v>1.9595882352941181</v>
          </cell>
          <cell r="AC38">
            <v>0</v>
          </cell>
          <cell r="AD38">
            <v>0.88235294117647067</v>
          </cell>
          <cell r="AE38">
            <v>6.3529411764705888</v>
          </cell>
          <cell r="AF38">
            <v>1.1764705882352942</v>
          </cell>
          <cell r="AG38">
            <v>5.882352941176471</v>
          </cell>
          <cell r="AH38">
            <v>16.253705882352943</v>
          </cell>
          <cell r="AI38">
            <v>39.503482352941177</v>
          </cell>
        </row>
        <row r="39">
          <cell r="C39" t="str">
            <v>trustwise</v>
          </cell>
          <cell r="D39" t="str">
            <v>BT Trust Wise</v>
          </cell>
          <cell r="E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>
            <v>2.9411764705882355</v>
          </cell>
          <cell r="M39">
            <v>10.308600000000002</v>
          </cell>
          <cell r="N39">
            <v>10.000000000000002</v>
          </cell>
          <cell r="O39" t="str">
            <v>!!!!!</v>
          </cell>
          <cell r="P39">
            <v>23.249776470588237</v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>
            <v>0</v>
          </cell>
          <cell r="Y39" t="str">
            <v/>
          </cell>
          <cell r="Z39" t="str">
            <v/>
          </cell>
          <cell r="AA39">
            <v>0</v>
          </cell>
          <cell r="AB39">
            <v>1.9595882352941181</v>
          </cell>
          <cell r="AC39">
            <v>0</v>
          </cell>
          <cell r="AD39">
            <v>0.88235294117647067</v>
          </cell>
          <cell r="AE39">
            <v>6.3529411764705888</v>
          </cell>
          <cell r="AF39">
            <v>1.1764705882352942</v>
          </cell>
          <cell r="AG39">
            <v>5.882352941176471</v>
          </cell>
          <cell r="AH39">
            <v>16.253705882352943</v>
          </cell>
          <cell r="AI39">
            <v>39.503482352941177</v>
          </cell>
        </row>
      </sheetData>
      <sheetData sheetId="2" refreshError="1">
        <row r="5">
          <cell r="C5" t="str">
            <v>acquis</v>
          </cell>
          <cell r="D5" t="str">
            <v>Acquisition</v>
          </cell>
          <cell r="E5" t="str">
            <v/>
          </cell>
          <cell r="G5" t="str">
            <v/>
          </cell>
          <cell r="H5">
            <v>0</v>
          </cell>
          <cell r="I5" t="str">
            <v/>
          </cell>
          <cell r="J5" t="str">
            <v/>
          </cell>
          <cell r="K5">
            <v>0</v>
          </cell>
          <cell r="L5" t="str">
            <v/>
          </cell>
          <cell r="N5">
            <v>0</v>
          </cell>
          <cell r="O5" t="str">
            <v/>
          </cell>
          <cell r="P5">
            <v>0</v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Z5" t="str">
            <v/>
          </cell>
          <cell r="AA5" t="str">
            <v/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J5">
            <v>0</v>
          </cell>
          <cell r="AK5">
            <v>0</v>
          </cell>
        </row>
        <row r="6">
          <cell r="C6" t="str">
            <v>2nd line bus</v>
          </cell>
          <cell r="D6" t="str">
            <v>2nd Line Bus</v>
          </cell>
          <cell r="E6">
            <v>0</v>
          </cell>
          <cell r="G6">
            <v>0</v>
          </cell>
          <cell r="H6">
            <v>0</v>
          </cell>
          <cell r="I6" t="str">
            <v/>
          </cell>
          <cell r="J6" t="str">
            <v/>
          </cell>
          <cell r="K6">
            <v>0</v>
          </cell>
          <cell r="L6">
            <v>1.911764705882353</v>
          </cell>
          <cell r="N6">
            <v>1.4705882352941178</v>
          </cell>
          <cell r="O6" t="str">
            <v/>
          </cell>
          <cell r="P6">
            <v>3.382352941176471</v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>
            <v>33.355000000000004</v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B6">
            <v>33.355000000000004</v>
          </cell>
          <cell r="AC6">
            <v>0.44117647058823534</v>
          </cell>
          <cell r="AD6">
            <v>0.73529411764705888</v>
          </cell>
          <cell r="AE6">
            <v>0.44117647058823534</v>
          </cell>
          <cell r="AF6">
            <v>4.7941176470588243</v>
          </cell>
          <cell r="AG6">
            <v>0.73529411764705888</v>
          </cell>
          <cell r="AH6">
            <v>2.9411764705882355</v>
          </cell>
          <cell r="AJ6">
            <v>10.088235294117649</v>
          </cell>
          <cell r="AK6">
            <v>46.82558823529412</v>
          </cell>
        </row>
        <row r="7">
          <cell r="C7" t="str">
            <v>2nd line res</v>
          </cell>
          <cell r="D7" t="str">
            <v>2nd Line Res</v>
          </cell>
          <cell r="E7">
            <v>0</v>
          </cell>
          <cell r="G7">
            <v>0</v>
          </cell>
          <cell r="H7">
            <v>0</v>
          </cell>
          <cell r="I7" t="str">
            <v/>
          </cell>
          <cell r="J7" t="str">
            <v/>
          </cell>
          <cell r="K7">
            <v>0</v>
          </cell>
          <cell r="L7">
            <v>1.911764705882353</v>
          </cell>
          <cell r="N7">
            <v>1.4705882352941178</v>
          </cell>
          <cell r="O7" t="str">
            <v/>
          </cell>
          <cell r="P7">
            <v>3.382352941176471</v>
          </cell>
          <cell r="Q7" t="str">
            <v/>
          </cell>
          <cell r="R7" t="str">
            <v/>
          </cell>
          <cell r="S7">
            <v>42.884999999999998</v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B7">
            <v>42.884999999999998</v>
          </cell>
          <cell r="AC7">
            <v>0.44117647058823534</v>
          </cell>
          <cell r="AD7">
            <v>0.73529411764705888</v>
          </cell>
          <cell r="AE7">
            <v>0.44117647058823534</v>
          </cell>
          <cell r="AF7">
            <v>4.7941176470588243</v>
          </cell>
          <cell r="AG7">
            <v>0.73529411764705888</v>
          </cell>
          <cell r="AH7">
            <v>2.9411764705882355</v>
          </cell>
          <cell r="AJ7">
            <v>10.088235294117649</v>
          </cell>
          <cell r="AK7">
            <v>56.355588235294121</v>
          </cell>
        </row>
        <row r="8">
          <cell r="C8" t="str">
            <v>btclick</v>
          </cell>
          <cell r="D8" t="str">
            <v>BTClick (free)</v>
          </cell>
          <cell r="E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>
            <v>3.8235294117647061</v>
          </cell>
          <cell r="N8">
            <v>2.9411764705882355</v>
          </cell>
          <cell r="O8" t="str">
            <v/>
          </cell>
          <cell r="P8">
            <v>6.764705882352942</v>
          </cell>
          <cell r="Q8" t="str">
            <v/>
          </cell>
          <cell r="R8" t="str">
            <v/>
          </cell>
          <cell r="S8">
            <v>21.442499999999999</v>
          </cell>
          <cell r="T8" t="str">
            <v/>
          </cell>
          <cell r="U8">
            <v>8.338750000000001</v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B8">
            <v>29.78125</v>
          </cell>
          <cell r="AC8">
            <v>0.88235294117647067</v>
          </cell>
          <cell r="AD8">
            <v>1.4705882352941178</v>
          </cell>
          <cell r="AE8">
            <v>0.88235294117647067</v>
          </cell>
          <cell r="AF8">
            <v>9.5882352941176485</v>
          </cell>
          <cell r="AG8">
            <v>1.4705882352941178</v>
          </cell>
          <cell r="AH8">
            <v>5.882352941176471</v>
          </cell>
          <cell r="AJ8">
            <v>20.176470588235297</v>
          </cell>
          <cell r="AK8">
            <v>56.722426470588239</v>
          </cell>
        </row>
        <row r="9">
          <cell r="C9" t="str">
            <v>CM/PSTN/mob</v>
          </cell>
          <cell r="D9" t="str">
            <v>Call Minder &amp; PSTN &amp; Mobile (Unified Messaging)</v>
          </cell>
          <cell r="E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>
            <v>3.8235294117647061</v>
          </cell>
          <cell r="N9">
            <v>2.9411764705882355</v>
          </cell>
          <cell r="O9" t="str">
            <v/>
          </cell>
          <cell r="P9">
            <v>6.764705882352942</v>
          </cell>
          <cell r="Q9" t="str">
            <v/>
          </cell>
          <cell r="R9" t="str">
            <v/>
          </cell>
          <cell r="S9">
            <v>21.442499999999999</v>
          </cell>
          <cell r="T9">
            <v>14.19</v>
          </cell>
          <cell r="U9">
            <v>8.338750000000001</v>
          </cell>
          <cell r="V9">
            <v>1.9349999999999998</v>
          </cell>
          <cell r="W9" t="str">
            <v/>
          </cell>
          <cell r="X9">
            <v>34.25</v>
          </cell>
          <cell r="Z9" t="str">
            <v/>
          </cell>
          <cell r="AA9" t="str">
            <v/>
          </cell>
          <cell r="AB9">
            <v>80.15625</v>
          </cell>
          <cell r="AC9">
            <v>0.88235294117647067</v>
          </cell>
          <cell r="AD9">
            <v>1.4705882352941178</v>
          </cell>
          <cell r="AE9">
            <v>0.88235294117647067</v>
          </cell>
          <cell r="AF9">
            <v>9.5882352941176485</v>
          </cell>
          <cell r="AG9">
            <v>1.4705882352941178</v>
          </cell>
          <cell r="AH9">
            <v>5.882352941176471</v>
          </cell>
          <cell r="AJ9">
            <v>20.176470588235297</v>
          </cell>
          <cell r="AK9">
            <v>107.09742647058823</v>
          </cell>
        </row>
        <row r="10">
          <cell r="C10" t="str">
            <v>digicam</v>
          </cell>
          <cell r="D10" t="str">
            <v>Digital Camera</v>
          </cell>
          <cell r="E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>
            <v>3.8235294117647061</v>
          </cell>
          <cell r="N10">
            <v>2.9411764705882355</v>
          </cell>
          <cell r="O10" t="str">
            <v/>
          </cell>
          <cell r="P10">
            <v>6.764705882352942</v>
          </cell>
          <cell r="Q10" t="str">
            <v/>
          </cell>
          <cell r="R10" t="str">
            <v/>
          </cell>
          <cell r="S10" t="str">
            <v/>
          </cell>
          <cell r="T10">
            <v>14.19</v>
          </cell>
          <cell r="U10" t="str">
            <v/>
          </cell>
          <cell r="V10">
            <v>1.9349999999999998</v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B10">
            <v>16.125</v>
          </cell>
          <cell r="AC10">
            <v>0.88235294117647067</v>
          </cell>
          <cell r="AD10">
            <v>1.4705882352941178</v>
          </cell>
          <cell r="AE10">
            <v>0.88235294117647067</v>
          </cell>
          <cell r="AF10">
            <v>9.5882352941176485</v>
          </cell>
          <cell r="AG10">
            <v>1.4705882352941178</v>
          </cell>
          <cell r="AH10">
            <v>5.882352941176471</v>
          </cell>
          <cell r="AJ10">
            <v>20.176470588235297</v>
          </cell>
          <cell r="AK10">
            <v>43.066176470588239</v>
          </cell>
        </row>
        <row r="11">
          <cell r="C11" t="str">
            <v>enhanced 1471</v>
          </cell>
          <cell r="D11" t="str">
            <v>Enhanced Caller Return</v>
          </cell>
          <cell r="E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O11" t="str">
            <v/>
          </cell>
          <cell r="P11">
            <v>0</v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B11">
            <v>0</v>
          </cell>
          <cell r="AG11">
            <v>0</v>
          </cell>
          <cell r="AJ11">
            <v>0</v>
          </cell>
          <cell r="AK11">
            <v>0</v>
          </cell>
        </row>
        <row r="12">
          <cell r="C12" t="str">
            <v>flexinumber</v>
          </cell>
          <cell r="D12" t="str">
            <v>Flexinumber Classic</v>
          </cell>
          <cell r="E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>
            <v>3.8235294117647061</v>
          </cell>
          <cell r="N12">
            <v>2.9411764705882355</v>
          </cell>
          <cell r="O12" t="str">
            <v/>
          </cell>
          <cell r="P12">
            <v>6.764705882352942</v>
          </cell>
          <cell r="Q12" t="str">
            <v/>
          </cell>
          <cell r="R12" t="str">
            <v/>
          </cell>
          <cell r="S12">
            <v>42.884999999999998</v>
          </cell>
          <cell r="T12">
            <v>14.19</v>
          </cell>
          <cell r="U12">
            <v>16.677500000000002</v>
          </cell>
          <cell r="V12">
            <v>1.9349999999999998</v>
          </cell>
          <cell r="W12" t="str">
            <v/>
          </cell>
          <cell r="X12">
            <v>34.25</v>
          </cell>
          <cell r="Z12" t="str">
            <v/>
          </cell>
          <cell r="AA12" t="str">
            <v/>
          </cell>
          <cell r="AB12">
            <v>109.9375</v>
          </cell>
          <cell r="AC12">
            <v>0.88235294117647067</v>
          </cell>
          <cell r="AD12">
            <v>1.4705882352941178</v>
          </cell>
          <cell r="AE12">
            <v>0.88235294117647067</v>
          </cell>
          <cell r="AF12">
            <v>9.5882352941176485</v>
          </cell>
          <cell r="AG12">
            <v>1.4705882352941178</v>
          </cell>
          <cell r="AH12">
            <v>5.882352941176471</v>
          </cell>
          <cell r="AJ12">
            <v>20.176470588235297</v>
          </cell>
          <cell r="AK12">
            <v>136.87867647058823</v>
          </cell>
        </row>
        <row r="13">
          <cell r="C13" t="str">
            <v>btaccess</v>
          </cell>
          <cell r="D13" t="str">
            <v>BtAccess</v>
          </cell>
          <cell r="E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>
            <v>3.8235294117647061</v>
          </cell>
          <cell r="N13">
            <v>2.9411764705882355</v>
          </cell>
          <cell r="O13" t="str">
            <v/>
          </cell>
          <cell r="P13">
            <v>6.764705882352942</v>
          </cell>
          <cell r="Q13" t="str">
            <v/>
          </cell>
          <cell r="R13" t="str">
            <v/>
          </cell>
          <cell r="S13" t="str">
            <v/>
          </cell>
          <cell r="T13">
            <v>28.38</v>
          </cell>
          <cell r="U13" t="str">
            <v/>
          </cell>
          <cell r="V13">
            <v>7.7399999999999993</v>
          </cell>
          <cell r="W13">
            <v>18</v>
          </cell>
          <cell r="X13" t="str">
            <v/>
          </cell>
          <cell r="Z13" t="str">
            <v/>
          </cell>
          <cell r="AA13" t="str">
            <v/>
          </cell>
          <cell r="AB13">
            <v>54.12</v>
          </cell>
          <cell r="AC13">
            <v>0.88235294117647067</v>
          </cell>
          <cell r="AD13">
            <v>1.4705882352941178</v>
          </cell>
          <cell r="AE13">
            <v>0.88235294117647067</v>
          </cell>
          <cell r="AF13">
            <v>9.5882352941176485</v>
          </cell>
          <cell r="AG13">
            <v>1.4705882352941178</v>
          </cell>
          <cell r="AH13">
            <v>5.882352941176471</v>
          </cell>
          <cell r="AJ13">
            <v>20.176470588235297</v>
          </cell>
          <cell r="AK13">
            <v>81.061176470588236</v>
          </cell>
        </row>
        <row r="14">
          <cell r="C14" t="str">
            <v>highway bus</v>
          </cell>
          <cell r="D14" t="str">
            <v>Highway Business</v>
          </cell>
          <cell r="E14">
            <v>0</v>
          </cell>
          <cell r="G14">
            <v>0</v>
          </cell>
          <cell r="H14">
            <v>0</v>
          </cell>
          <cell r="I14" t="str">
            <v/>
          </cell>
          <cell r="J14" t="str">
            <v/>
          </cell>
          <cell r="K14">
            <v>0</v>
          </cell>
          <cell r="L14">
            <v>1.911764705882353</v>
          </cell>
          <cell r="N14">
            <v>1.4705882352941178</v>
          </cell>
          <cell r="O14" t="str">
            <v/>
          </cell>
          <cell r="P14">
            <v>3.382352941176471</v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>
            <v>33.355000000000004</v>
          </cell>
          <cell r="V14">
            <v>7.7399999999999993</v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>
            <v>41.095000000000006</v>
          </cell>
          <cell r="AC14">
            <v>0.44117647058823534</v>
          </cell>
          <cell r="AD14">
            <v>0.73529411764705888</v>
          </cell>
          <cell r="AE14">
            <v>0.44117647058823534</v>
          </cell>
          <cell r="AF14">
            <v>4.7941176470588243</v>
          </cell>
          <cell r="AG14">
            <v>0.73529411764705888</v>
          </cell>
          <cell r="AH14">
            <v>2.9411764705882355</v>
          </cell>
          <cell r="AJ14">
            <v>10.088235294117649</v>
          </cell>
          <cell r="AK14">
            <v>54.565588235294129</v>
          </cell>
        </row>
        <row r="15">
          <cell r="C15" t="str">
            <v>highway res</v>
          </cell>
          <cell r="D15" t="str">
            <v>Highway Home (Res)</v>
          </cell>
          <cell r="E15">
            <v>0</v>
          </cell>
          <cell r="G15">
            <v>0</v>
          </cell>
          <cell r="H15">
            <v>0</v>
          </cell>
          <cell r="I15" t="str">
            <v/>
          </cell>
          <cell r="J15" t="str">
            <v/>
          </cell>
          <cell r="K15">
            <v>0</v>
          </cell>
          <cell r="L15">
            <v>1.911764705882353</v>
          </cell>
          <cell r="N15">
            <v>1.4705882352941178</v>
          </cell>
          <cell r="O15" t="str">
            <v/>
          </cell>
          <cell r="P15">
            <v>3.382352941176471</v>
          </cell>
          <cell r="Q15" t="str">
            <v/>
          </cell>
          <cell r="R15" t="str">
            <v/>
          </cell>
          <cell r="S15">
            <v>42.884999999999998</v>
          </cell>
          <cell r="T15">
            <v>28.38</v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>
            <v>71.265000000000001</v>
          </cell>
          <cell r="AC15">
            <v>0.44117647058823534</v>
          </cell>
          <cell r="AD15">
            <v>0.73529411764705888</v>
          </cell>
          <cell r="AE15">
            <v>0.44117647058823534</v>
          </cell>
          <cell r="AF15">
            <v>4.7941176470588243</v>
          </cell>
          <cell r="AG15">
            <v>0.73529411764705888</v>
          </cell>
          <cell r="AH15">
            <v>2.9411764705882355</v>
          </cell>
          <cell r="AJ15">
            <v>10.088235294117649</v>
          </cell>
          <cell r="AK15">
            <v>84.735588235294131</v>
          </cell>
        </row>
        <row r="16">
          <cell r="C16" t="str">
            <v>internet pp bus</v>
          </cell>
          <cell r="D16" t="str">
            <v>Internet Price Points (bus)</v>
          </cell>
          <cell r="E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>
            <v>1.911764705882353</v>
          </cell>
          <cell r="N16">
            <v>1.4705882352941178</v>
          </cell>
          <cell r="O16" t="str">
            <v/>
          </cell>
          <cell r="P16">
            <v>3.382352941176471</v>
          </cell>
          <cell r="Q16" t="str">
            <v/>
          </cell>
          <cell r="R16">
            <v>124.875</v>
          </cell>
          <cell r="S16" t="str">
            <v/>
          </cell>
          <cell r="T16" t="str">
            <v/>
          </cell>
          <cell r="U16">
            <v>33.355000000000004</v>
          </cell>
          <cell r="V16">
            <v>3.8699999999999997</v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>
            <v>162.10000000000002</v>
          </cell>
          <cell r="AC16">
            <v>0.44117647058823534</v>
          </cell>
          <cell r="AD16">
            <v>0.73529411764705888</v>
          </cell>
          <cell r="AE16">
            <v>0.44117647058823534</v>
          </cell>
          <cell r="AF16">
            <v>4.7941176470588243</v>
          </cell>
          <cell r="AG16">
            <v>0.73529411764705888</v>
          </cell>
          <cell r="AH16">
            <v>2.9411764705882355</v>
          </cell>
          <cell r="AJ16">
            <v>10.088235294117649</v>
          </cell>
          <cell r="AK16">
            <v>175.57058823529414</v>
          </cell>
        </row>
        <row r="17">
          <cell r="C17" t="str">
            <v>internet pp res</v>
          </cell>
          <cell r="D17" t="str">
            <v>Internet Price Points (res)</v>
          </cell>
          <cell r="E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>
            <v>1.911764705882353</v>
          </cell>
          <cell r="N17">
            <v>1.4705882352941178</v>
          </cell>
          <cell r="O17" t="str">
            <v/>
          </cell>
          <cell r="P17">
            <v>3.382352941176471</v>
          </cell>
          <cell r="Q17" t="str">
            <v/>
          </cell>
          <cell r="R17" t="str">
            <v/>
          </cell>
          <cell r="S17">
            <v>85.77</v>
          </cell>
          <cell r="T17">
            <v>28.38</v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>
            <v>114.14999999999999</v>
          </cell>
          <cell r="AC17">
            <v>0.44117647058823534</v>
          </cell>
          <cell r="AD17">
            <v>0.73529411764705888</v>
          </cell>
          <cell r="AE17">
            <v>0.44117647058823534</v>
          </cell>
          <cell r="AF17">
            <v>4.7941176470588243</v>
          </cell>
          <cell r="AG17">
            <v>0.73529411764705888</v>
          </cell>
          <cell r="AH17">
            <v>2.9411764705882355</v>
          </cell>
          <cell r="AJ17">
            <v>10.088235294117649</v>
          </cell>
          <cell r="AK17">
            <v>127.62058823529412</v>
          </cell>
        </row>
        <row r="18">
          <cell r="C18" t="str">
            <v>fax</v>
          </cell>
          <cell r="D18" t="str">
            <v>Fax Machine</v>
          </cell>
          <cell r="E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O18" t="str">
            <v/>
          </cell>
          <cell r="P18">
            <v>0</v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>
            <v>0</v>
          </cell>
          <cell r="AG18">
            <v>0</v>
          </cell>
          <cell r="AJ18">
            <v>0</v>
          </cell>
          <cell r="AK18">
            <v>0</v>
          </cell>
        </row>
        <row r="19">
          <cell r="C19" t="str">
            <v>select services</v>
          </cell>
          <cell r="D19" t="str">
            <v>Select services Pack</v>
          </cell>
          <cell r="E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O19" t="str">
            <v/>
          </cell>
          <cell r="P19">
            <v>0</v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>
            <v>0</v>
          </cell>
          <cell r="AG19">
            <v>0</v>
          </cell>
          <cell r="AJ19">
            <v>0</v>
          </cell>
          <cell r="AK19">
            <v>0</v>
          </cell>
        </row>
        <row r="20">
          <cell r="C20" t="str">
            <v>article/service</v>
          </cell>
          <cell r="D20" t="str">
            <v>Article / Service</v>
          </cell>
          <cell r="E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N20">
            <v>0</v>
          </cell>
          <cell r="O20" t="str">
            <v/>
          </cell>
          <cell r="P20">
            <v>0</v>
          </cell>
          <cell r="Q20" t="str">
            <v/>
          </cell>
          <cell r="R20" t="str">
            <v/>
          </cell>
          <cell r="S20">
            <v>42.884999999999998</v>
          </cell>
          <cell r="T20">
            <v>28.38</v>
          </cell>
          <cell r="U20">
            <v>33.355000000000004</v>
          </cell>
          <cell r="V20">
            <v>7.7399999999999993</v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>
            <v>112.36</v>
          </cell>
          <cell r="AC20">
            <v>0</v>
          </cell>
          <cell r="AD20">
            <v>0</v>
          </cell>
          <cell r="AE20">
            <v>0</v>
          </cell>
          <cell r="AG20">
            <v>0</v>
          </cell>
          <cell r="AJ20">
            <v>0</v>
          </cell>
          <cell r="AK20">
            <v>112.36</v>
          </cell>
        </row>
        <row r="21">
          <cell r="C21" t="str">
            <v>no. import (+bzero)</v>
          </cell>
          <cell r="D21" t="str">
            <v>Number Import incl. B Zero (bus)</v>
          </cell>
          <cell r="E21" t="str">
            <v/>
          </cell>
          <cell r="G21" t="str">
            <v/>
          </cell>
          <cell r="H21">
            <v>30</v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O21" t="str">
            <v/>
          </cell>
          <cell r="P21">
            <v>30</v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>
            <v>0</v>
          </cell>
          <cell r="AG21">
            <v>0</v>
          </cell>
          <cell r="AJ21">
            <v>0</v>
          </cell>
          <cell r="AK21">
            <v>30</v>
          </cell>
        </row>
        <row r="22">
          <cell r="C22" t="str">
            <v>big no</v>
          </cell>
          <cell r="D22" t="str">
            <v>Big Number</v>
          </cell>
          <cell r="E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>
            <v>3.8235294117647061</v>
          </cell>
          <cell r="N22">
            <v>2.9411764705882355</v>
          </cell>
          <cell r="O22" t="str">
            <v/>
          </cell>
          <cell r="P22">
            <v>6.764705882352942</v>
          </cell>
          <cell r="Q22">
            <v>274.125</v>
          </cell>
          <cell r="R22">
            <v>124.875</v>
          </cell>
          <cell r="S22">
            <v>85.77</v>
          </cell>
          <cell r="T22">
            <v>56.76</v>
          </cell>
          <cell r="U22">
            <v>50.032500000000006</v>
          </cell>
          <cell r="V22">
            <v>11.61</v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>
            <v>603.17250000000001</v>
          </cell>
          <cell r="AC22">
            <v>0.88235294117647067</v>
          </cell>
          <cell r="AD22">
            <v>1.4705882352941178</v>
          </cell>
          <cell r="AE22">
            <v>0.88235294117647067</v>
          </cell>
          <cell r="AF22">
            <v>9.5882352941176485</v>
          </cell>
          <cell r="AG22">
            <v>1.4705882352941178</v>
          </cell>
          <cell r="AH22">
            <v>5.882352941176471</v>
          </cell>
          <cell r="AJ22">
            <v>20.176470588235297</v>
          </cell>
          <cell r="AK22">
            <v>630.11367647058819</v>
          </cell>
        </row>
        <row r="23">
          <cell r="C23" t="str">
            <v>web build</v>
          </cell>
          <cell r="D23" t="str">
            <v>Website Build - High-tech</v>
          </cell>
          <cell r="E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>
            <v>3.8235294117647061</v>
          </cell>
          <cell r="M23">
            <v>25</v>
          </cell>
          <cell r="N23">
            <v>2.9411764705882355</v>
          </cell>
          <cell r="O23" t="str">
            <v/>
          </cell>
          <cell r="P23">
            <v>31.764705882352942</v>
          </cell>
          <cell r="Q23" t="str">
            <v/>
          </cell>
          <cell r="R23" t="str">
            <v/>
          </cell>
          <cell r="S23" t="str">
            <v/>
          </cell>
          <cell r="T23">
            <v>14.19</v>
          </cell>
          <cell r="U23" t="str">
            <v/>
          </cell>
          <cell r="V23">
            <v>1.9349999999999998</v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>
            <v>16.125</v>
          </cell>
          <cell r="AC23">
            <v>0.88235294117647067</v>
          </cell>
          <cell r="AD23">
            <v>1.4705882352941178</v>
          </cell>
          <cell r="AE23">
            <v>0.88235294117647067</v>
          </cell>
          <cell r="AF23">
            <v>9.5882352941176485</v>
          </cell>
          <cell r="AG23">
            <v>1.4705882352941178</v>
          </cell>
          <cell r="AH23">
            <v>5.882352941176471</v>
          </cell>
          <cell r="AJ23">
            <v>20.176470588235297</v>
          </cell>
          <cell r="AK23">
            <v>68.066176470588232</v>
          </cell>
        </row>
        <row r="24">
          <cell r="C24" t="str">
            <v>call circle res</v>
          </cell>
          <cell r="D24" t="str">
            <v>Call Circle Optimisation (res)</v>
          </cell>
          <cell r="E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O24" t="str">
            <v/>
          </cell>
          <cell r="P24">
            <v>0</v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>
            <v>0</v>
          </cell>
          <cell r="AJ24">
            <v>0</v>
          </cell>
          <cell r="AK24">
            <v>0</v>
          </cell>
        </row>
        <row r="25">
          <cell r="C25" t="str">
            <v>call circle bus</v>
          </cell>
          <cell r="D25" t="str">
            <v>Call Circle Optimisation (bus)</v>
          </cell>
          <cell r="E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O25" t="str">
            <v/>
          </cell>
          <cell r="P25">
            <v>0</v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B25">
            <v>0</v>
          </cell>
          <cell r="AJ25">
            <v>0</v>
          </cell>
          <cell r="AK25">
            <v>0</v>
          </cell>
        </row>
        <row r="26">
          <cell r="C26" t="str">
            <v>no. import res</v>
          </cell>
          <cell r="D26" t="str">
            <v>Number Import (res)</v>
          </cell>
          <cell r="E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O26" t="str">
            <v/>
          </cell>
          <cell r="P26">
            <v>0</v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Z26" t="str">
            <v/>
          </cell>
          <cell r="AA26" t="str">
            <v/>
          </cell>
          <cell r="AB26">
            <v>0</v>
          </cell>
          <cell r="AJ26">
            <v>0</v>
          </cell>
          <cell r="AK26">
            <v>0</v>
          </cell>
        </row>
        <row r="27">
          <cell r="C27" t="str">
            <v>future talk mag</v>
          </cell>
          <cell r="D27" t="str">
            <v>Future Talk Magazine</v>
          </cell>
          <cell r="E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N27">
            <v>0</v>
          </cell>
          <cell r="O27" t="str">
            <v/>
          </cell>
          <cell r="P27">
            <v>0</v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Z27" t="str">
            <v/>
          </cell>
          <cell r="AA27" t="str">
            <v/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J27">
            <v>0</v>
          </cell>
          <cell r="AK27">
            <v>0</v>
          </cell>
        </row>
        <row r="28">
          <cell r="C28" t="str">
            <v>IDD price cuts</v>
          </cell>
          <cell r="D28" t="str">
            <v>IDD price cuts (Cuckoo)</v>
          </cell>
          <cell r="E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O28" t="str">
            <v/>
          </cell>
          <cell r="P28">
            <v>0</v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Z28" t="str">
            <v/>
          </cell>
          <cell r="AA28" t="str">
            <v/>
          </cell>
          <cell r="AB28">
            <v>0</v>
          </cell>
          <cell r="AJ28">
            <v>0</v>
          </cell>
          <cell r="AK28">
            <v>0</v>
          </cell>
        </row>
        <row r="29">
          <cell r="C29" t="str">
            <v>nat w/end</v>
          </cell>
          <cell r="D29" t="str">
            <v>National weekend 3p to 2p (Cuckoo)</v>
          </cell>
          <cell r="E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>
            <v>3.8235294117647061</v>
          </cell>
          <cell r="N29">
            <v>2.9411764705882355</v>
          </cell>
          <cell r="O29" t="str">
            <v/>
          </cell>
          <cell r="P29">
            <v>6.764705882352942</v>
          </cell>
          <cell r="Q29" t="str">
            <v/>
          </cell>
          <cell r="R29">
            <v>83.25</v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Z29" t="str">
            <v/>
          </cell>
          <cell r="AA29" t="str">
            <v/>
          </cell>
          <cell r="AB29">
            <v>83.25</v>
          </cell>
          <cell r="AC29">
            <v>0.88235294117647067</v>
          </cell>
          <cell r="AD29">
            <v>1.4705882352941178</v>
          </cell>
          <cell r="AE29">
            <v>0.88235294117647067</v>
          </cell>
          <cell r="AF29">
            <v>9.5882352941176485</v>
          </cell>
          <cell r="AG29">
            <v>1.4705882352941178</v>
          </cell>
          <cell r="AH29">
            <v>5.882352941176471</v>
          </cell>
          <cell r="AJ29">
            <v>20.176470588235297</v>
          </cell>
          <cell r="AK29">
            <v>110.19117647058823</v>
          </cell>
        </row>
        <row r="30">
          <cell r="C30" t="str">
            <v>panto</v>
          </cell>
          <cell r="D30" t="str">
            <v>Panto</v>
          </cell>
          <cell r="E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>
            <v>3.8235294117647061</v>
          </cell>
          <cell r="N30">
            <v>2.9411764705882355</v>
          </cell>
          <cell r="O30" t="str">
            <v/>
          </cell>
          <cell r="P30">
            <v>6.764705882352942</v>
          </cell>
          <cell r="Q30">
            <v>91.375</v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Z30" t="str">
            <v/>
          </cell>
          <cell r="AA30" t="str">
            <v/>
          </cell>
          <cell r="AB30">
            <v>91.375</v>
          </cell>
          <cell r="AC30">
            <v>0.88235294117647067</v>
          </cell>
          <cell r="AD30">
            <v>1.4705882352941178</v>
          </cell>
          <cell r="AE30">
            <v>0.88235294117647067</v>
          </cell>
          <cell r="AF30">
            <v>9.5882352941176485</v>
          </cell>
          <cell r="AG30">
            <v>1.4705882352941178</v>
          </cell>
          <cell r="AH30">
            <v>5.882352941176471</v>
          </cell>
          <cell r="AJ30">
            <v>20.176470588235297</v>
          </cell>
          <cell r="AK30">
            <v>118.31617647058823</v>
          </cell>
        </row>
        <row r="31">
          <cell r="C31" t="str">
            <v>update</v>
          </cell>
          <cell r="D31" t="str">
            <v>Update</v>
          </cell>
          <cell r="L31" t="str">
            <v/>
          </cell>
          <cell r="P31">
            <v>0</v>
          </cell>
          <cell r="R31" t="str">
            <v/>
          </cell>
          <cell r="W31" t="str">
            <v/>
          </cell>
          <cell r="Z31">
            <v>41</v>
          </cell>
          <cell r="AB31">
            <v>41</v>
          </cell>
          <cell r="AJ31">
            <v>0</v>
          </cell>
          <cell r="AK31">
            <v>41</v>
          </cell>
        </row>
        <row r="32">
          <cell r="C32" t="str">
            <v>price</v>
          </cell>
          <cell r="D32" t="str">
            <v>Generic Price</v>
          </cell>
          <cell r="E32">
            <v>0</v>
          </cell>
          <cell r="G32">
            <v>0</v>
          </cell>
          <cell r="H32">
            <v>0</v>
          </cell>
          <cell r="I32" t="str">
            <v/>
          </cell>
          <cell r="J32" t="str">
            <v/>
          </cell>
          <cell r="K32">
            <v>0</v>
          </cell>
          <cell r="L32" t="str">
            <v/>
          </cell>
          <cell r="N32">
            <v>0</v>
          </cell>
          <cell r="O32" t="str">
            <v/>
          </cell>
          <cell r="P32">
            <v>0</v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Z32" t="str">
            <v/>
          </cell>
          <cell r="AA32" t="str">
            <v/>
          </cell>
          <cell r="AB32">
            <v>0</v>
          </cell>
          <cell r="AJ32">
            <v>0</v>
          </cell>
          <cell r="AK32">
            <v>0</v>
          </cell>
        </row>
        <row r="33">
          <cell r="C33" t="str">
            <v>service</v>
          </cell>
          <cell r="D33" t="str">
            <v>Generic Service</v>
          </cell>
          <cell r="E33">
            <v>0</v>
          </cell>
          <cell r="G33">
            <v>0</v>
          </cell>
          <cell r="H33">
            <v>0</v>
          </cell>
          <cell r="I33" t="str">
            <v/>
          </cell>
          <cell r="J33" t="str">
            <v/>
          </cell>
          <cell r="K33">
            <v>0</v>
          </cell>
          <cell r="L33" t="str">
            <v/>
          </cell>
          <cell r="N33">
            <v>0</v>
          </cell>
          <cell r="O33" t="str">
            <v/>
          </cell>
          <cell r="P33">
            <v>0</v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>
            <v>36</v>
          </cell>
          <cell r="X33" t="str">
            <v/>
          </cell>
          <cell r="Z33" t="str">
            <v/>
          </cell>
          <cell r="AA33" t="str">
            <v/>
          </cell>
          <cell r="AB33">
            <v>36</v>
          </cell>
          <cell r="AJ33">
            <v>0</v>
          </cell>
          <cell r="AK33">
            <v>36</v>
          </cell>
        </row>
        <row r="34">
          <cell r="C34" t="str">
            <v>xmas flat</v>
          </cell>
          <cell r="D34" t="str">
            <v>Christmas Flat Top (Cuckoo)</v>
          </cell>
          <cell r="E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O34" t="str">
            <v/>
          </cell>
          <cell r="P34">
            <v>0</v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Z34" t="str">
            <v/>
          </cell>
          <cell r="AA34" t="str">
            <v/>
          </cell>
          <cell r="AB34">
            <v>0</v>
          </cell>
          <cell r="AJ34">
            <v>0</v>
          </cell>
          <cell r="AK34">
            <v>0</v>
          </cell>
        </row>
        <row r="35">
          <cell r="C35" t="str">
            <v>Bus pay&amp;go</v>
          </cell>
          <cell r="D35" t="str">
            <v>Cellnet - Business Pay&amp;Go (bus)</v>
          </cell>
          <cell r="E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>
            <v>1.911764705882353</v>
          </cell>
          <cell r="N35">
            <v>1.4705882352941178</v>
          </cell>
          <cell r="O35" t="str">
            <v/>
          </cell>
          <cell r="P35">
            <v>3.382352941176471</v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>
            <v>17.125</v>
          </cell>
          <cell r="Z35" t="str">
            <v/>
          </cell>
          <cell r="AA35" t="str">
            <v/>
          </cell>
          <cell r="AB35">
            <v>17.125</v>
          </cell>
          <cell r="AC35">
            <v>0.44117647058823534</v>
          </cell>
          <cell r="AD35">
            <v>0.73529411764705888</v>
          </cell>
          <cell r="AE35">
            <v>0.44117647058823534</v>
          </cell>
          <cell r="AF35">
            <v>4.7941176470588243</v>
          </cell>
          <cell r="AG35">
            <v>0.73529411764705888</v>
          </cell>
          <cell r="AH35">
            <v>2.9411764705882355</v>
          </cell>
          <cell r="AJ35">
            <v>10.088235294117649</v>
          </cell>
          <cell r="AK35">
            <v>30.59558823529412</v>
          </cell>
        </row>
        <row r="36">
          <cell r="C36" t="str">
            <v>call sign switch</v>
          </cell>
          <cell r="D36" t="str">
            <v>Call sign switch</v>
          </cell>
          <cell r="E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O36" t="str">
            <v/>
          </cell>
          <cell r="P36">
            <v>0</v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Z36" t="str">
            <v/>
          </cell>
          <cell r="AA36" t="str">
            <v/>
          </cell>
          <cell r="AB36">
            <v>0</v>
          </cell>
          <cell r="AJ36">
            <v>0</v>
          </cell>
          <cell r="AK36">
            <v>0</v>
          </cell>
        </row>
        <row r="37">
          <cell r="C37" t="str">
            <v>cellnet first</v>
          </cell>
          <cell r="D37" t="str">
            <v>Cellnet First</v>
          </cell>
          <cell r="E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>
            <v>3.8235294117647061</v>
          </cell>
          <cell r="N37">
            <v>2.9411764705882355</v>
          </cell>
          <cell r="O37" t="str">
            <v/>
          </cell>
          <cell r="P37">
            <v>6.764705882352942</v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>
            <v>34.25</v>
          </cell>
          <cell r="Z37" t="str">
            <v/>
          </cell>
          <cell r="AA37" t="str">
            <v/>
          </cell>
          <cell r="AB37">
            <v>34.25</v>
          </cell>
          <cell r="AC37">
            <v>0.88235294117647067</v>
          </cell>
          <cell r="AD37">
            <v>1.4705882352941178</v>
          </cell>
          <cell r="AE37">
            <v>0.88235294117647067</v>
          </cell>
          <cell r="AF37">
            <v>9.5882352941176485</v>
          </cell>
          <cell r="AG37">
            <v>1.4705882352941178</v>
          </cell>
          <cell r="AH37">
            <v>5.882352941176471</v>
          </cell>
          <cell r="AJ37">
            <v>20.176470588235297</v>
          </cell>
          <cell r="AK37">
            <v>61.191176470588239</v>
          </cell>
        </row>
        <row r="38">
          <cell r="C38" t="str">
            <v>dome</v>
          </cell>
          <cell r="D38" t="str">
            <v>Dome Tickets / Trip</v>
          </cell>
          <cell r="E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>
            <v>3.8235294117647061</v>
          </cell>
          <cell r="M38">
            <v>26</v>
          </cell>
          <cell r="N38">
            <v>2.9411764705882355</v>
          </cell>
          <cell r="O38" t="str">
            <v/>
          </cell>
          <cell r="P38">
            <v>32.764705882352942</v>
          </cell>
          <cell r="Q38" t="str">
            <v/>
          </cell>
          <cell r="R38" t="str">
            <v/>
          </cell>
          <cell r="S38">
            <v>42.884999999999998</v>
          </cell>
          <cell r="T38">
            <v>28.38</v>
          </cell>
          <cell r="U38">
            <v>33.355000000000004</v>
          </cell>
          <cell r="V38">
            <v>7.7399999999999993</v>
          </cell>
          <cell r="W38" t="str">
            <v/>
          </cell>
          <cell r="X38" t="str">
            <v/>
          </cell>
          <cell r="Z38" t="str">
            <v/>
          </cell>
          <cell r="AA38" t="str">
            <v/>
          </cell>
          <cell r="AB38">
            <v>112.36</v>
          </cell>
          <cell r="AC38">
            <v>0.88235294117647067</v>
          </cell>
          <cell r="AD38">
            <v>1.4705882352941178</v>
          </cell>
          <cell r="AE38">
            <v>0.88235294117647067</v>
          </cell>
          <cell r="AF38">
            <v>9.5882352941176485</v>
          </cell>
          <cell r="AG38">
            <v>1.4705882352941178</v>
          </cell>
          <cell r="AH38">
            <v>5.882352941176471</v>
          </cell>
          <cell r="AJ38">
            <v>20.176470588235297</v>
          </cell>
          <cell r="AK38">
            <v>165.30117647058825</v>
          </cell>
        </row>
        <row r="39">
          <cell r="C39" t="str">
            <v>mill mins</v>
          </cell>
          <cell r="D39" t="str">
            <v>Millennium Minutes</v>
          </cell>
          <cell r="E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N39">
            <v>0</v>
          </cell>
          <cell r="O39" t="str">
            <v/>
          </cell>
          <cell r="P39">
            <v>0</v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Z39" t="str">
            <v/>
          </cell>
          <cell r="AA39" t="str">
            <v/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J39">
            <v>0</v>
          </cell>
          <cell r="AK39">
            <v>0</v>
          </cell>
        </row>
        <row r="40">
          <cell r="C40" t="str">
            <v>internet service</v>
          </cell>
          <cell r="D40" t="str">
            <v>Internet Service</v>
          </cell>
          <cell r="E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>
            <v>3.8235294117647061</v>
          </cell>
          <cell r="N40">
            <v>2.9411764705882355</v>
          </cell>
          <cell r="O40" t="str">
            <v/>
          </cell>
          <cell r="P40">
            <v>6.764705882352942</v>
          </cell>
          <cell r="Q40" t="str">
            <v/>
          </cell>
          <cell r="R40" t="str">
            <v/>
          </cell>
          <cell r="S40">
            <v>42.884999999999998</v>
          </cell>
          <cell r="T40">
            <v>56.76</v>
          </cell>
          <cell r="U40">
            <v>16.677500000000002</v>
          </cell>
          <cell r="V40">
            <v>7.7399999999999993</v>
          </cell>
          <cell r="W40" t="str">
            <v/>
          </cell>
          <cell r="X40" t="str">
            <v/>
          </cell>
          <cell r="Z40" t="str">
            <v/>
          </cell>
          <cell r="AA40" t="str">
            <v/>
          </cell>
          <cell r="AB40">
            <v>124.06249999999999</v>
          </cell>
          <cell r="AC40">
            <v>0.88235294117647067</v>
          </cell>
          <cell r="AD40">
            <v>1.4705882352941178</v>
          </cell>
          <cell r="AE40">
            <v>0.88235294117647067</v>
          </cell>
          <cell r="AF40">
            <v>9.5882352941176485</v>
          </cell>
          <cell r="AG40">
            <v>1.4705882352941178</v>
          </cell>
          <cell r="AH40">
            <v>5.882352941176471</v>
          </cell>
          <cell r="AJ40">
            <v>20.176470588235297</v>
          </cell>
          <cell r="AK40">
            <v>151.00367647058823</v>
          </cell>
        </row>
        <row r="41">
          <cell r="C41" t="str">
            <v>relate phone</v>
          </cell>
          <cell r="D41" t="str">
            <v>Relate 700 Phone</v>
          </cell>
          <cell r="E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O41" t="str">
            <v/>
          </cell>
          <cell r="P41">
            <v>0</v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Z41" t="str">
            <v/>
          </cell>
          <cell r="AA41" t="str">
            <v/>
          </cell>
          <cell r="AB41">
            <v>0</v>
          </cell>
          <cell r="AJ41">
            <v>0</v>
          </cell>
          <cell r="AK41">
            <v>0</v>
          </cell>
        </row>
        <row r="42">
          <cell r="C42" t="str">
            <v>res pay&amp;go</v>
          </cell>
          <cell r="D42" t="str">
            <v>Cellnet - Pay &amp; Go (res)</v>
          </cell>
          <cell r="E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>
            <v>1.911764705882353</v>
          </cell>
          <cell r="N42">
            <v>1.4705882352941178</v>
          </cell>
          <cell r="O42" t="str">
            <v/>
          </cell>
          <cell r="P42">
            <v>3.382352941176471</v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>
            <v>17.125</v>
          </cell>
          <cell r="Z42" t="str">
            <v/>
          </cell>
          <cell r="AA42" t="str">
            <v/>
          </cell>
          <cell r="AB42">
            <v>17.125</v>
          </cell>
          <cell r="AC42">
            <v>0.44117647058823534</v>
          </cell>
          <cell r="AD42">
            <v>0.73529411764705888</v>
          </cell>
          <cell r="AE42">
            <v>0.44117647058823534</v>
          </cell>
          <cell r="AF42">
            <v>4.7941176470588243</v>
          </cell>
          <cell r="AG42">
            <v>0.73529411764705888</v>
          </cell>
          <cell r="AH42">
            <v>2.9411764705882355</v>
          </cell>
          <cell r="AJ42">
            <v>10.088235294117649</v>
          </cell>
          <cell r="AK42">
            <v>30.59558823529412</v>
          </cell>
        </row>
        <row r="43">
          <cell r="C43" t="str">
            <v>recon</v>
          </cell>
          <cell r="D43" t="str">
            <v>Reconnection</v>
          </cell>
          <cell r="E43">
            <v>0</v>
          </cell>
          <cell r="G43" t="str">
            <v/>
          </cell>
          <cell r="H43">
            <v>0</v>
          </cell>
          <cell r="I43" t="str">
            <v/>
          </cell>
          <cell r="J43" t="str">
            <v/>
          </cell>
          <cell r="K43">
            <v>0</v>
          </cell>
          <cell r="L43" t="str">
            <v/>
          </cell>
          <cell r="N43">
            <v>0</v>
          </cell>
          <cell r="O43" t="str">
            <v/>
          </cell>
          <cell r="P43">
            <v>0</v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>
            <v>0</v>
          </cell>
          <cell r="Z43" t="str">
            <v/>
          </cell>
          <cell r="AA43" t="str">
            <v/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J43">
            <v>0</v>
          </cell>
          <cell r="AK43">
            <v>0</v>
          </cell>
        </row>
        <row r="44">
          <cell r="C44" t="str">
            <v>dart</v>
          </cell>
          <cell r="D44" t="str">
            <v>DART</v>
          </cell>
          <cell r="E44">
            <v>300</v>
          </cell>
          <cell r="G44">
            <v>100</v>
          </cell>
          <cell r="H44">
            <v>300</v>
          </cell>
          <cell r="I44" t="str">
            <v/>
          </cell>
          <cell r="J44" t="str">
            <v/>
          </cell>
          <cell r="K44">
            <v>300</v>
          </cell>
          <cell r="L44">
            <v>3.8235294117647061</v>
          </cell>
          <cell r="N44">
            <v>2.9411764705882355</v>
          </cell>
          <cell r="O44" t="str">
            <v/>
          </cell>
          <cell r="P44">
            <v>1006.764705882353</v>
          </cell>
          <cell r="Q44">
            <v>365.5</v>
          </cell>
          <cell r="R44" t="str">
            <v/>
          </cell>
          <cell r="S44">
            <v>214.42499999999998</v>
          </cell>
          <cell r="T44">
            <v>141.9</v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Z44" t="str">
            <v/>
          </cell>
          <cell r="AA44" t="str">
            <v/>
          </cell>
          <cell r="AB44">
            <v>721.82499999999993</v>
          </cell>
          <cell r="AC44">
            <v>0.88235294117647067</v>
          </cell>
          <cell r="AD44">
            <v>1.4705882352941178</v>
          </cell>
          <cell r="AE44">
            <v>0.88235294117647067</v>
          </cell>
          <cell r="AF44">
            <v>9.5882352941176485</v>
          </cell>
          <cell r="AG44">
            <v>1.4705882352941178</v>
          </cell>
          <cell r="AH44">
            <v>5.882352941176471</v>
          </cell>
          <cell r="AJ44">
            <v>20.176470588235297</v>
          </cell>
          <cell r="AK44">
            <v>1748.7661764705883</v>
          </cell>
        </row>
        <row r="45">
          <cell r="C45" t="str">
            <v>call stim</v>
          </cell>
          <cell r="D45" t="str">
            <v>Call Stim Case</v>
          </cell>
          <cell r="E45">
            <v>0</v>
          </cell>
          <cell r="G45">
            <v>0</v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O45" t="str">
            <v/>
          </cell>
          <cell r="P45">
            <v>0</v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>
            <v>54</v>
          </cell>
          <cell r="X45" t="str">
            <v/>
          </cell>
          <cell r="Z45" t="str">
            <v/>
          </cell>
          <cell r="AA45" t="str">
            <v/>
          </cell>
          <cell r="AB45">
            <v>54</v>
          </cell>
          <cell r="AJ45">
            <v>0</v>
          </cell>
          <cell r="AK45">
            <v>54</v>
          </cell>
        </row>
        <row r="47">
          <cell r="AD47">
            <v>24.999999999999986</v>
          </cell>
        </row>
      </sheetData>
      <sheetData sheetId="3" refreshError="1">
        <row r="5">
          <cell r="B5" t="str">
            <v>2nd line bus</v>
          </cell>
          <cell r="C5" t="str">
            <v>2nd Lines bus</v>
          </cell>
          <cell r="G5">
            <v>20.8</v>
          </cell>
          <cell r="J5">
            <v>20.8</v>
          </cell>
          <cell r="K5">
            <v>2.2727272727272729</v>
          </cell>
          <cell r="O5">
            <v>43.872727272727275</v>
          </cell>
          <cell r="R5">
            <v>25</v>
          </cell>
          <cell r="S5">
            <v>8.5</v>
          </cell>
          <cell r="Y5">
            <v>33.5</v>
          </cell>
          <cell r="AL5">
            <v>77.372727272727275</v>
          </cell>
        </row>
        <row r="6">
          <cell r="B6" t="str">
            <v>2nd line res</v>
          </cell>
          <cell r="C6" t="str">
            <v>2nd Lines res</v>
          </cell>
          <cell r="G6">
            <v>40</v>
          </cell>
          <cell r="J6">
            <v>40</v>
          </cell>
          <cell r="K6">
            <v>2.2727272727272729</v>
          </cell>
          <cell r="O6">
            <v>82.272727272727266</v>
          </cell>
          <cell r="Q6">
            <v>60.83</v>
          </cell>
          <cell r="S6">
            <v>8.5</v>
          </cell>
          <cell r="Y6">
            <v>69.33</v>
          </cell>
          <cell r="Z6">
            <v>0.83299999999999996</v>
          </cell>
          <cell r="AE6">
            <v>0.95238095238095233</v>
          </cell>
          <cell r="AG6">
            <v>5.0909090909090908</v>
          </cell>
          <cell r="AL6">
            <v>158.47901731601732</v>
          </cell>
        </row>
        <row r="7">
          <cell r="B7" t="str">
            <v>3wc</v>
          </cell>
          <cell r="C7" t="str">
            <v>3 Way Calling</v>
          </cell>
          <cell r="O7">
            <v>0</v>
          </cell>
          <cell r="Y7">
            <v>0</v>
          </cell>
          <cell r="AL7">
            <v>0</v>
          </cell>
        </row>
        <row r="8">
          <cell r="B8" t="str">
            <v>3rd party</v>
          </cell>
          <cell r="C8" t="str">
            <v>3rd party receipts</v>
          </cell>
          <cell r="O8">
            <v>0</v>
          </cell>
          <cell r="T8">
            <v>-150</v>
          </cell>
          <cell r="Y8">
            <v>-150</v>
          </cell>
          <cell r="AL8">
            <v>-150</v>
          </cell>
        </row>
        <row r="9">
          <cell r="B9" t="str">
            <v>acquis</v>
          </cell>
          <cell r="C9" t="str">
            <v>Acquisition</v>
          </cell>
          <cell r="O9">
            <v>0</v>
          </cell>
          <cell r="U9">
            <v>35</v>
          </cell>
          <cell r="Y9">
            <v>35</v>
          </cell>
          <cell r="AL9">
            <v>35</v>
          </cell>
        </row>
        <row r="10">
          <cell r="B10" t="str">
            <v>asian</v>
          </cell>
          <cell r="C10" t="str">
            <v>Asian Helpline</v>
          </cell>
          <cell r="O10">
            <v>0</v>
          </cell>
          <cell r="Y10">
            <v>0</v>
          </cell>
          <cell r="AL10">
            <v>0</v>
          </cell>
        </row>
        <row r="11">
          <cell r="B11" t="str">
            <v>best plan</v>
          </cell>
          <cell r="C11" t="str">
            <v>Best Plan (Price / Value)</v>
          </cell>
          <cell r="O11">
            <v>0</v>
          </cell>
          <cell r="Y11">
            <v>0</v>
          </cell>
          <cell r="AL11">
            <v>0</v>
          </cell>
        </row>
        <row r="12">
          <cell r="B12" t="str">
            <v>bus guide</v>
          </cell>
          <cell r="C12" t="str">
            <v>Business Guide (service)</v>
          </cell>
          <cell r="K12">
            <v>2.2727272727272729</v>
          </cell>
          <cell r="O12">
            <v>2.2727272727272729</v>
          </cell>
          <cell r="Y12">
            <v>0</v>
          </cell>
          <cell r="Z12">
            <v>0.34229999999999999</v>
          </cell>
          <cell r="AE12">
            <v>0.95238095238095233</v>
          </cell>
          <cell r="AG12">
            <v>5.0909090909090908</v>
          </cell>
          <cell r="AL12">
            <v>8.6583173160173157</v>
          </cell>
        </row>
        <row r="13">
          <cell r="B13" t="str">
            <v>call div/sign/CM</v>
          </cell>
          <cell r="C13" t="str">
            <v>Call div / call sign / CM</v>
          </cell>
          <cell r="O13">
            <v>0</v>
          </cell>
          <cell r="Y13">
            <v>0</v>
          </cell>
          <cell r="AL13">
            <v>0</v>
          </cell>
        </row>
        <row r="14">
          <cell r="B14" t="str">
            <v>call e</v>
          </cell>
          <cell r="C14" t="str">
            <v>Call E (calls)</v>
          </cell>
          <cell r="O14">
            <v>0</v>
          </cell>
          <cell r="Y14">
            <v>0</v>
          </cell>
          <cell r="AL14">
            <v>0</v>
          </cell>
        </row>
        <row r="15">
          <cell r="B15" t="str">
            <v>call minder</v>
          </cell>
          <cell r="C15" t="str">
            <v>Call Minder</v>
          </cell>
          <cell r="K15">
            <v>2.2727272727272729</v>
          </cell>
          <cell r="O15">
            <v>2.2727272727272729</v>
          </cell>
          <cell r="Q15">
            <v>60.83</v>
          </cell>
          <cell r="R15">
            <v>25</v>
          </cell>
          <cell r="S15">
            <v>8.5</v>
          </cell>
          <cell r="Y15">
            <v>94.33</v>
          </cell>
          <cell r="Z15">
            <v>2.1564900000000002</v>
          </cell>
          <cell r="AE15">
            <v>0.95238095238095233</v>
          </cell>
          <cell r="AG15">
            <v>5.0909090909090908</v>
          </cell>
          <cell r="AL15">
            <v>104.80250731601731</v>
          </cell>
        </row>
        <row r="16">
          <cell r="B16" t="str">
            <v>caller display</v>
          </cell>
          <cell r="C16" t="str">
            <v>Caller display</v>
          </cell>
          <cell r="K16">
            <v>2.2727272727272729</v>
          </cell>
          <cell r="O16">
            <v>2.2727272727272729</v>
          </cell>
          <cell r="Q16">
            <v>60.83</v>
          </cell>
          <cell r="R16">
            <v>25</v>
          </cell>
          <cell r="S16">
            <v>8.5</v>
          </cell>
          <cell r="Y16">
            <v>94.33</v>
          </cell>
          <cell r="Z16">
            <v>2.1564900000000002</v>
          </cell>
          <cell r="AE16">
            <v>0.95238095238095233</v>
          </cell>
          <cell r="AG16">
            <v>5.0909090909090908</v>
          </cell>
          <cell r="AL16">
            <v>104.80250731601731</v>
          </cell>
        </row>
        <row r="17">
          <cell r="B17" t="str">
            <v>call diversion</v>
          </cell>
          <cell r="C17" t="str">
            <v>Call Diversion</v>
          </cell>
          <cell r="O17">
            <v>0</v>
          </cell>
          <cell r="Y17">
            <v>0</v>
          </cell>
          <cell r="AL17">
            <v>0</v>
          </cell>
        </row>
        <row r="18">
          <cell r="B18" t="str">
            <v>cd player</v>
          </cell>
          <cell r="C18" t="str">
            <v>CD Player offer (calls)</v>
          </cell>
          <cell r="O18">
            <v>0</v>
          </cell>
          <cell r="Q18">
            <v>6.7588888888888885</v>
          </cell>
          <cell r="R18">
            <v>2.7777777777777777</v>
          </cell>
          <cell r="Y18">
            <v>9.5366666666666653</v>
          </cell>
          <cell r="AL18">
            <v>9.5366666666666653</v>
          </cell>
        </row>
        <row r="19">
          <cell r="B19" t="str">
            <v>cd rom</v>
          </cell>
          <cell r="C19" t="str">
            <v>Intro to CD Rom - mail (calls)</v>
          </cell>
          <cell r="O19">
            <v>0</v>
          </cell>
          <cell r="Q19">
            <v>40.553333333333335</v>
          </cell>
          <cell r="R19">
            <v>16.666666666666668</v>
          </cell>
          <cell r="S19">
            <v>67</v>
          </cell>
          <cell r="Y19">
            <v>124.22</v>
          </cell>
          <cell r="Z19">
            <v>0.15974000000000002</v>
          </cell>
          <cell r="AG19">
            <v>5.0909090909090908</v>
          </cell>
          <cell r="AL19">
            <v>129.47064909090909</v>
          </cell>
        </row>
        <row r="20">
          <cell r="B20" t="str">
            <v>res pay&amp;go</v>
          </cell>
          <cell r="C20" t="str">
            <v>Cellnet Prepay - Easylife (res)</v>
          </cell>
          <cell r="K20">
            <v>1.1363636363636365</v>
          </cell>
          <cell r="O20">
            <v>1.1363636363636365</v>
          </cell>
          <cell r="Q20">
            <v>60.83</v>
          </cell>
          <cell r="T20">
            <v>50</v>
          </cell>
          <cell r="Y20">
            <v>110.83</v>
          </cell>
          <cell r="Z20">
            <v>0.57050000000000001</v>
          </cell>
          <cell r="AE20">
            <v>0.47619047619047616</v>
          </cell>
          <cell r="AG20">
            <v>2.5454545454545454</v>
          </cell>
          <cell r="AL20">
            <v>115.55850865800866</v>
          </cell>
        </row>
        <row r="21">
          <cell r="B21" t="str">
            <v>bus pay&amp;go</v>
          </cell>
          <cell r="C21" t="str">
            <v xml:space="preserve"> - bus prepay</v>
          </cell>
          <cell r="K21">
            <v>1.1363636363636365</v>
          </cell>
          <cell r="O21">
            <v>1.1363636363636365</v>
          </cell>
          <cell r="R21">
            <v>25</v>
          </cell>
          <cell r="T21">
            <v>50</v>
          </cell>
          <cell r="Y21">
            <v>75</v>
          </cell>
          <cell r="Z21">
            <v>0.57050000000000001</v>
          </cell>
          <cell r="AE21">
            <v>0.47619047619047616</v>
          </cell>
          <cell r="AG21">
            <v>2.5454545454545454</v>
          </cell>
          <cell r="AL21">
            <v>79.728508658008664</v>
          </cell>
        </row>
        <row r="22">
          <cell r="B22" t="str">
            <v>cellnet healthcheck</v>
          </cell>
          <cell r="C22" t="str">
            <v>Cellnet Healthcheck (Acquis/opt) (bus)</v>
          </cell>
          <cell r="O22">
            <v>0</v>
          </cell>
          <cell r="Y22">
            <v>0</v>
          </cell>
          <cell r="AL22">
            <v>0</v>
          </cell>
        </row>
        <row r="23">
          <cell r="B23" t="str">
            <v>cellnet first</v>
          </cell>
          <cell r="C23" t="str">
            <v>Cellnet First</v>
          </cell>
          <cell r="K23">
            <v>2.2727272727272729</v>
          </cell>
          <cell r="O23">
            <v>2.2727272727272729</v>
          </cell>
          <cell r="Q23">
            <v>60.83</v>
          </cell>
          <cell r="R23">
            <v>25</v>
          </cell>
          <cell r="T23">
            <v>100</v>
          </cell>
          <cell r="Y23">
            <v>185.82999999999998</v>
          </cell>
          <cell r="Z23">
            <v>1.141</v>
          </cell>
          <cell r="AE23">
            <v>0.95238095238095233</v>
          </cell>
          <cell r="AG23">
            <v>5.0909090909090908</v>
          </cell>
          <cell r="AL23">
            <v>195.28701731601731</v>
          </cell>
        </row>
        <row r="24">
          <cell r="B24" t="str">
            <v>btclick</v>
          </cell>
          <cell r="C24" t="str">
            <v>Click free</v>
          </cell>
          <cell r="K24">
            <v>2.2727272727272729</v>
          </cell>
          <cell r="O24">
            <v>2.2727272727272729</v>
          </cell>
          <cell r="Q24">
            <v>20.276666666666667</v>
          </cell>
          <cell r="R24">
            <v>8.3333333333333339</v>
          </cell>
          <cell r="S24">
            <v>67</v>
          </cell>
          <cell r="Y24">
            <v>95.61</v>
          </cell>
          <cell r="Z24">
            <v>3.0350600000000001</v>
          </cell>
          <cell r="AE24">
            <v>0.95238095238095233</v>
          </cell>
          <cell r="AG24">
            <v>5.0909090909090908</v>
          </cell>
          <cell r="AL24">
            <v>106.96107731601731</v>
          </cell>
        </row>
        <row r="25">
          <cell r="B25" t="str">
            <v>computer call</v>
          </cell>
          <cell r="C25" t="str">
            <v>Computer call</v>
          </cell>
          <cell r="K25">
            <v>2.2727272727272729</v>
          </cell>
          <cell r="O25">
            <v>2.2727272727272729</v>
          </cell>
          <cell r="Q25">
            <v>20.276666666666667</v>
          </cell>
          <cell r="R25">
            <v>8.3333333333333339</v>
          </cell>
          <cell r="S25">
            <v>8.5</v>
          </cell>
          <cell r="Y25">
            <v>37.11</v>
          </cell>
          <cell r="Z25">
            <v>0.41075999999999996</v>
          </cell>
          <cell r="AE25">
            <v>0.95238095238095233</v>
          </cell>
          <cell r="AG25">
            <v>5.0909090909090908</v>
          </cell>
          <cell r="AL25">
            <v>45.836777316017319</v>
          </cell>
        </row>
        <row r="26">
          <cell r="B26" t="str">
            <v>game</v>
          </cell>
          <cell r="C26" t="str">
            <v>Game</v>
          </cell>
          <cell r="O26">
            <v>0</v>
          </cell>
          <cell r="S26">
            <v>67</v>
          </cell>
          <cell r="Y26">
            <v>67</v>
          </cell>
          <cell r="AL26">
            <v>67</v>
          </cell>
        </row>
        <row r="27">
          <cell r="B27" t="str">
            <v>flexinumber</v>
          </cell>
          <cell r="C27" t="str">
            <v>Flexinumber (mobile only)</v>
          </cell>
          <cell r="O27">
            <v>0</v>
          </cell>
          <cell r="T27">
            <v>100</v>
          </cell>
          <cell r="Y27">
            <v>100</v>
          </cell>
          <cell r="AL27">
            <v>100</v>
          </cell>
        </row>
        <row r="28">
          <cell r="B28" t="str">
            <v>f to m</v>
          </cell>
          <cell r="C28" t="str">
            <v>Fixed to Mobile (2p price msg)</v>
          </cell>
          <cell r="K28">
            <v>2.2727272727272729</v>
          </cell>
          <cell r="O28">
            <v>2.2727272727272729</v>
          </cell>
          <cell r="P28">
            <v>112.5</v>
          </cell>
          <cell r="Q28">
            <v>20.276666666666667</v>
          </cell>
          <cell r="R28">
            <v>8.3333333333333339</v>
          </cell>
          <cell r="Y28">
            <v>141.11000000000001</v>
          </cell>
          <cell r="Z28">
            <v>4.1075999999999997</v>
          </cell>
          <cell r="AA28">
            <v>40</v>
          </cell>
          <cell r="AE28">
            <v>0.95238095238095233</v>
          </cell>
          <cell r="AG28">
            <v>5.0909090909090908</v>
          </cell>
          <cell r="AL28">
            <v>193.53361731601734</v>
          </cell>
        </row>
        <row r="29">
          <cell r="B29" t="str">
            <v>highway bus</v>
          </cell>
          <cell r="C29" t="str">
            <v>Highway Business</v>
          </cell>
          <cell r="G29">
            <v>31.2</v>
          </cell>
          <cell r="J29">
            <v>31.2</v>
          </cell>
          <cell r="K29">
            <v>2.2727272727272729</v>
          </cell>
          <cell r="O29">
            <v>64.672727272727272</v>
          </cell>
          <cell r="R29">
            <v>25</v>
          </cell>
          <cell r="S29">
            <v>8.5</v>
          </cell>
          <cell r="Y29">
            <v>33.5</v>
          </cell>
          <cell r="Z29">
            <v>0.38800000000000001</v>
          </cell>
          <cell r="AE29">
            <v>0.95238095238095233</v>
          </cell>
          <cell r="AG29">
            <v>5.0909090909090908</v>
          </cell>
          <cell r="AL29">
            <v>104.60401731601732</v>
          </cell>
        </row>
        <row r="30">
          <cell r="B30" t="str">
            <v>highway res</v>
          </cell>
          <cell r="C30" t="str">
            <v>Home Highway</v>
          </cell>
          <cell r="G30">
            <v>60</v>
          </cell>
          <cell r="J30">
            <v>60</v>
          </cell>
          <cell r="K30">
            <v>2.2727272727272729</v>
          </cell>
          <cell r="O30">
            <v>122.27272727272727</v>
          </cell>
          <cell r="Q30">
            <v>60.83</v>
          </cell>
          <cell r="S30">
            <v>8.5</v>
          </cell>
          <cell r="Y30">
            <v>69.33</v>
          </cell>
          <cell r="Z30">
            <v>0.83299999999999996</v>
          </cell>
          <cell r="AE30">
            <v>0.95238095238095233</v>
          </cell>
          <cell r="AG30">
            <v>5.0909090909090908</v>
          </cell>
          <cell r="AL30">
            <v>198.47901731601732</v>
          </cell>
        </row>
        <row r="31">
          <cell r="B31" t="str">
            <v>homemovers</v>
          </cell>
          <cell r="C31" t="str">
            <v>Homemovers</v>
          </cell>
          <cell r="O31">
            <v>0</v>
          </cell>
          <cell r="Y31">
            <v>0</v>
          </cell>
          <cell r="AL31">
            <v>0</v>
          </cell>
        </row>
        <row r="32">
          <cell r="B32" t="str">
            <v>idd</v>
          </cell>
          <cell r="C32" t="str">
            <v>IDD (price)</v>
          </cell>
          <cell r="G32">
            <v>50</v>
          </cell>
          <cell r="K32">
            <v>2.2727272727272729</v>
          </cell>
          <cell r="O32">
            <v>52.272727272727273</v>
          </cell>
          <cell r="P32">
            <v>112.5</v>
          </cell>
          <cell r="Q32">
            <v>20.276666666666667</v>
          </cell>
          <cell r="R32">
            <v>8.3333333333333339</v>
          </cell>
          <cell r="Y32">
            <v>141.11000000000001</v>
          </cell>
          <cell r="Z32">
            <v>3.0122400000000003</v>
          </cell>
          <cell r="AE32">
            <v>0.95238095238095233</v>
          </cell>
          <cell r="AG32">
            <v>5.0909090909090908</v>
          </cell>
          <cell r="AL32">
            <v>202.43825731601734</v>
          </cell>
        </row>
        <row r="33">
          <cell r="B33" t="str">
            <v>key nos</v>
          </cell>
          <cell r="C33" t="str">
            <v>Key Numbers (calls)</v>
          </cell>
          <cell r="G33">
            <v>200</v>
          </cell>
          <cell r="J33">
            <v>200</v>
          </cell>
          <cell r="K33">
            <v>2.2727272727272729</v>
          </cell>
          <cell r="O33">
            <v>402.27272727272725</v>
          </cell>
          <cell r="P33">
            <v>112.5</v>
          </cell>
          <cell r="R33">
            <v>4.166666666666667</v>
          </cell>
          <cell r="Y33">
            <v>116.66666666666667</v>
          </cell>
          <cell r="Z33">
            <v>4.66669</v>
          </cell>
          <cell r="AA33">
            <v>40</v>
          </cell>
          <cell r="AE33">
            <v>0.95238095238095233</v>
          </cell>
          <cell r="AG33">
            <v>5.0909090909090908</v>
          </cell>
          <cell r="AL33">
            <v>569.64937398268398</v>
          </cell>
        </row>
        <row r="34">
          <cell r="B34" t="str">
            <v>y2k</v>
          </cell>
          <cell r="C34" t="str">
            <v>Y2K compliant (service)</v>
          </cell>
          <cell r="K34">
            <v>2.2727272727272729</v>
          </cell>
          <cell r="O34">
            <v>2.2727272727272729</v>
          </cell>
          <cell r="Q34">
            <v>30.414999999999999</v>
          </cell>
          <cell r="R34">
            <v>12.5</v>
          </cell>
          <cell r="Y34">
            <v>42.914999999999999</v>
          </cell>
          <cell r="Z34">
            <v>0.59332000000000007</v>
          </cell>
          <cell r="AE34">
            <v>0.95238095238095233</v>
          </cell>
          <cell r="AG34">
            <v>5.0909090909090908</v>
          </cell>
          <cell r="AL34">
            <v>51.824337316017314</v>
          </cell>
        </row>
        <row r="35">
          <cell r="B35" t="str">
            <v>modem</v>
          </cell>
          <cell r="C35" t="str">
            <v>Modem offer (calls)</v>
          </cell>
          <cell r="K35">
            <v>2.2727272727272729</v>
          </cell>
          <cell r="O35">
            <v>2.2727272727272729</v>
          </cell>
          <cell r="Q35">
            <v>6.7588888888888885</v>
          </cell>
          <cell r="R35">
            <v>2.7777777777777777</v>
          </cell>
          <cell r="Y35">
            <v>9.5366666666666653</v>
          </cell>
          <cell r="Z35">
            <v>0.15974000000000002</v>
          </cell>
          <cell r="AE35">
            <v>0.95238095238095233</v>
          </cell>
          <cell r="AG35">
            <v>5.0909090909090908</v>
          </cell>
          <cell r="AL35">
            <v>18.012423982683984</v>
          </cell>
        </row>
        <row r="36">
          <cell r="B36" t="str">
            <v>leisure guide</v>
          </cell>
          <cell r="C36" t="str">
            <v>On-line Guide - leisure (calls)</v>
          </cell>
          <cell r="O36">
            <v>0</v>
          </cell>
          <cell r="S36">
            <v>33.5</v>
          </cell>
          <cell r="Y36">
            <v>33.5</v>
          </cell>
          <cell r="AL36">
            <v>33.5</v>
          </cell>
        </row>
        <row r="37">
          <cell r="B37" t="str">
            <v>bus guide on-line</v>
          </cell>
          <cell r="C37" t="str">
            <v>On-line Guide - business (calls)</v>
          </cell>
          <cell r="O37">
            <v>0</v>
          </cell>
          <cell r="S37">
            <v>33.5</v>
          </cell>
          <cell r="Y37">
            <v>33.5</v>
          </cell>
          <cell r="AL37">
            <v>33.5</v>
          </cell>
        </row>
        <row r="38">
          <cell r="B38" t="str">
            <v>2 pcs</v>
          </cell>
          <cell r="C38" t="str">
            <v>PC Offer - 2PCs (calls)</v>
          </cell>
          <cell r="K38">
            <v>1.5151515151515154</v>
          </cell>
          <cell r="O38">
            <v>1.5151515151515154</v>
          </cell>
          <cell r="Q38">
            <v>4.5059259259259257</v>
          </cell>
          <cell r="R38">
            <v>1.8518518518518519</v>
          </cell>
          <cell r="Y38">
            <v>6.3577777777777778</v>
          </cell>
          <cell r="Z38">
            <v>2.5558399999999999</v>
          </cell>
          <cell r="AE38">
            <v>0.63492063492063489</v>
          </cell>
          <cell r="AG38">
            <v>3.393939393939394</v>
          </cell>
          <cell r="AL38">
            <v>14.457629321789323</v>
          </cell>
        </row>
        <row r="39">
          <cell r="B39" t="str">
            <v>easicom</v>
          </cell>
          <cell r="C39" t="str">
            <v>PC Offer - Easicom (calls)</v>
          </cell>
          <cell r="K39">
            <v>0.75757575757575768</v>
          </cell>
          <cell r="O39">
            <v>0.75757575757575768</v>
          </cell>
          <cell r="Q39">
            <v>2.2529629629629628</v>
          </cell>
          <cell r="R39">
            <v>0.92592592592592593</v>
          </cell>
          <cell r="Y39">
            <v>3.1788888888888889</v>
          </cell>
          <cell r="Z39">
            <v>1.2779199999999999</v>
          </cell>
          <cell r="AE39">
            <v>0.31746031746031744</v>
          </cell>
          <cell r="AG39">
            <v>1.696969696969697</v>
          </cell>
          <cell r="AL39">
            <v>7.2288146608946615</v>
          </cell>
        </row>
        <row r="40">
          <cell r="B40" t="str">
            <v>price/serv</v>
          </cell>
          <cell r="C40" t="str">
            <v>Price/Serv Generic (price)</v>
          </cell>
          <cell r="K40">
            <v>2.2727272727272729</v>
          </cell>
          <cell r="O40">
            <v>2.2727272727272729</v>
          </cell>
          <cell r="P40">
            <v>112.5</v>
          </cell>
          <cell r="Q40">
            <v>20.276666666666667</v>
          </cell>
          <cell r="R40">
            <v>4.166666666666667</v>
          </cell>
          <cell r="Y40">
            <v>136.94333333333333</v>
          </cell>
          <cell r="Z40">
            <v>4.7237399999999994</v>
          </cell>
          <cell r="AA40">
            <v>40</v>
          </cell>
          <cell r="AE40">
            <v>0.95238095238095233</v>
          </cell>
          <cell r="AG40">
            <v>5.0909090909090908</v>
          </cell>
          <cell r="AL40">
            <v>189.98309064935066</v>
          </cell>
        </row>
        <row r="41">
          <cell r="B41" t="str">
            <v>recon</v>
          </cell>
          <cell r="C41" t="str">
            <v>Reconnection</v>
          </cell>
          <cell r="D41">
            <v>83.6</v>
          </cell>
          <cell r="G41">
            <v>19</v>
          </cell>
          <cell r="J41">
            <v>23.5</v>
          </cell>
          <cell r="O41">
            <v>126.1</v>
          </cell>
          <cell r="U41">
            <v>60</v>
          </cell>
          <cell r="Y41">
            <v>60</v>
          </cell>
          <cell r="AL41">
            <v>186.1</v>
          </cell>
        </row>
        <row r="42">
          <cell r="B42" t="str">
            <v>ring back</v>
          </cell>
          <cell r="C42" t="str">
            <v>Ring back (1/2 price offer)</v>
          </cell>
          <cell r="K42">
            <v>2.2727272727272729</v>
          </cell>
          <cell r="O42">
            <v>2.2727272727272729</v>
          </cell>
          <cell r="Q42">
            <v>60.83</v>
          </cell>
          <cell r="R42">
            <v>25</v>
          </cell>
          <cell r="Y42">
            <v>85.83</v>
          </cell>
          <cell r="Z42">
            <v>2.1564900000000002</v>
          </cell>
          <cell r="AE42">
            <v>0.95238095238095233</v>
          </cell>
          <cell r="AG42">
            <v>5.0909090909090908</v>
          </cell>
          <cell r="AL42">
            <v>96.302507316017312</v>
          </cell>
        </row>
        <row r="43">
          <cell r="B43" t="str">
            <v>rwc</v>
          </cell>
          <cell r="C43" t="str">
            <v>Rugby World Cup</v>
          </cell>
          <cell r="K43">
            <v>2.2727272727272729</v>
          </cell>
          <cell r="L43">
            <v>50</v>
          </cell>
          <cell r="O43">
            <v>52.272727272727273</v>
          </cell>
          <cell r="Q43">
            <v>60.83</v>
          </cell>
          <cell r="R43">
            <v>25</v>
          </cell>
          <cell r="S43">
            <v>67</v>
          </cell>
          <cell r="Y43">
            <v>152.82999999999998</v>
          </cell>
          <cell r="Z43">
            <v>0.59332000000000007</v>
          </cell>
          <cell r="AE43">
            <v>0.95238095238095233</v>
          </cell>
          <cell r="AG43">
            <v>5.0909090909090908</v>
          </cell>
          <cell r="AL43">
            <v>211.7393373160173</v>
          </cell>
        </row>
        <row r="44">
          <cell r="B44" t="str">
            <v>price/value</v>
          </cell>
          <cell r="C44" t="str">
            <v>Do More With BT (price/value)</v>
          </cell>
          <cell r="D44">
            <v>150</v>
          </cell>
          <cell r="F44">
            <v>66</v>
          </cell>
          <cell r="G44">
            <v>50</v>
          </cell>
          <cell r="J44">
            <v>75</v>
          </cell>
          <cell r="O44">
            <v>341</v>
          </cell>
          <cell r="Y44">
            <v>0</v>
          </cell>
          <cell r="AL44">
            <v>341</v>
          </cell>
        </row>
        <row r="45">
          <cell r="B45" t="str">
            <v>talk 21</v>
          </cell>
          <cell r="C45" t="str">
            <v>Talk 21</v>
          </cell>
          <cell r="K45">
            <v>2.2727272727272729</v>
          </cell>
          <cell r="O45">
            <v>2.2727272727272729</v>
          </cell>
          <cell r="Q45">
            <v>20.276666666666667</v>
          </cell>
          <cell r="R45">
            <v>8.3333333333333339</v>
          </cell>
          <cell r="S45">
            <v>8.5</v>
          </cell>
          <cell r="Y45">
            <v>37.11</v>
          </cell>
          <cell r="Z45">
            <v>2.9666000000000001</v>
          </cell>
          <cell r="AE45">
            <v>0.95238095238095233</v>
          </cell>
          <cell r="AG45">
            <v>5.0909090909090908</v>
          </cell>
          <cell r="AL45">
            <v>48.392617316017315</v>
          </cell>
        </row>
        <row r="46">
          <cell r="B46" t="str">
            <v>tech buster</v>
          </cell>
          <cell r="C46" t="str">
            <v>Tech Buster (service)</v>
          </cell>
          <cell r="O46">
            <v>0</v>
          </cell>
          <cell r="S46">
            <v>67</v>
          </cell>
          <cell r="Y46">
            <v>67</v>
          </cell>
          <cell r="AL46">
            <v>67</v>
          </cell>
        </row>
        <row r="47">
          <cell r="B47" t="str">
            <v>do with bt</v>
          </cell>
          <cell r="C47" t="str">
            <v>What Can I Do with BT (calls)</v>
          </cell>
          <cell r="O47">
            <v>0</v>
          </cell>
          <cell r="S47">
            <v>67</v>
          </cell>
          <cell r="Y47">
            <v>67</v>
          </cell>
          <cell r="AL47">
            <v>67</v>
          </cell>
        </row>
        <row r="48">
          <cell r="B48" t="str">
            <v>big no</v>
          </cell>
          <cell r="C48" t="str">
            <v>Number Change (service)</v>
          </cell>
          <cell r="K48">
            <v>2.2727272727272729</v>
          </cell>
          <cell r="O48">
            <v>2.2727272727272729</v>
          </cell>
          <cell r="Q48">
            <v>30.414999999999999</v>
          </cell>
          <cell r="R48">
            <v>12.5</v>
          </cell>
          <cell r="S48">
            <v>67</v>
          </cell>
          <cell r="Y48">
            <v>109.91499999999999</v>
          </cell>
          <cell r="Z48">
            <v>0.59332000000000007</v>
          </cell>
          <cell r="AE48">
            <v>0.95238095238095233</v>
          </cell>
          <cell r="AG48">
            <v>5.0909090909090908</v>
          </cell>
          <cell r="AL48">
            <v>118.82433731601731</v>
          </cell>
        </row>
        <row r="49">
          <cell r="B49" t="str">
            <v>misc</v>
          </cell>
          <cell r="C49" t="str">
            <v>Miscellaneous</v>
          </cell>
          <cell r="O49">
            <v>0</v>
          </cell>
          <cell r="X49">
            <v>64</v>
          </cell>
          <cell r="Y49">
            <v>64</v>
          </cell>
          <cell r="AL49">
            <v>64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Co Tot Calls Data Sheet"/>
      <sheetName val="ProductCo Tot Calls Output"/>
      <sheetName val="Consumer Calls Output"/>
      <sheetName val="SME Calls Output"/>
      <sheetName val="MB Calls Output"/>
      <sheetName val="Non Retail Calls Output"/>
      <sheetName val="CALLS Charts"/>
      <sheetName val="Consumer Calls Data Sheet"/>
      <sheetName val="Non Retail Calls Data Sheet"/>
      <sheetName val="SME Calls Data Sheet"/>
      <sheetName val="MB Calls Data Sheet"/>
      <sheetName val="Consumer Lines Data Sheet"/>
      <sheetName val="ProductCo Lines Data Sheet"/>
      <sheetName val="SME Lines Data Sheet"/>
      <sheetName val="MB Lines Data Sheet"/>
      <sheetName val="Non Retail Lines Data Sheet"/>
      <sheetName val="Consumer Lines Output"/>
      <sheetName val="SME Lines Output"/>
      <sheetName val="MB Lines Output"/>
      <sheetName val="Non Retail Lines Output"/>
      <sheetName val="ProductCo Lines Output"/>
      <sheetName val="PUC's"/>
      <sheetName val="Data Sheets"/>
      <sheetName val="Reporting DataSheet 0203 P1"/>
      <sheetName val="#REF"/>
    </sheetNames>
    <sheetDataSet>
      <sheetData sheetId="0" refreshError="1"/>
      <sheetData sheetId="1" refreshError="1">
        <row r="1">
          <cell r="AC1" t="str">
            <v>National Calls</v>
          </cell>
        </row>
        <row r="2">
          <cell r="AC2">
            <v>1</v>
          </cell>
        </row>
        <row r="4">
          <cell r="AE4" t="str">
            <v>Full Year</v>
          </cell>
        </row>
        <row r="5">
          <cell r="AC5" t="str">
            <v>Yr on Yr Var Better / (Worse)</v>
          </cell>
          <cell r="AD5" t="str">
            <v>Yr on Yr Var % Better / (Worse)</v>
          </cell>
          <cell r="AE5" t="str">
            <v>Forecast</v>
          </cell>
          <cell r="AF5" t="str">
            <v>FY F'Cast Var to Base QPB Better / (Worse)</v>
          </cell>
          <cell r="AG5" t="str">
            <v>Var % Better / (Worse)</v>
          </cell>
        </row>
        <row r="7">
          <cell r="AC7">
            <v>42.799999999999727</v>
          </cell>
          <cell r="AD7">
            <v>1.89707903018482E-2</v>
          </cell>
          <cell r="AE7">
            <v>4665.5999999999995</v>
          </cell>
          <cell r="AF7">
            <v>-23690.453641319367</v>
          </cell>
          <cell r="AG7">
            <v>-0.83546370524558944</v>
          </cell>
        </row>
        <row r="8">
          <cell r="AC8">
            <v>-4.6165599775426216</v>
          </cell>
          <cell r="AD8">
            <v>-5.7761165925907944E-2</v>
          </cell>
          <cell r="AE8">
            <v>154.45556473202294</v>
          </cell>
          <cell r="AF8">
            <v>-14.582018446950173</v>
          </cell>
          <cell r="AG8">
            <v>-8.6264948733389468E-2</v>
          </cell>
        </row>
        <row r="9">
          <cell r="AC9">
            <v>-0.2770885101573124</v>
          </cell>
          <cell r="AE9">
            <v>3.3105187914099572</v>
          </cell>
          <cell r="AF9">
            <v>2.714393585423402</v>
          </cell>
        </row>
        <row r="11">
          <cell r="AC11">
            <v>-0.60871656708179422</v>
          </cell>
          <cell r="AD11">
            <v>-0.12706787878954096</v>
          </cell>
          <cell r="AE11">
            <v>11.451656007401047</v>
          </cell>
          <cell r="AF11">
            <v>-0.72865600740104597</v>
          </cell>
          <cell r="AG11">
            <v>-5.9822441864834715E-2</v>
          </cell>
        </row>
        <row r="13">
          <cell r="AC13">
            <v>-5.2252765446244158</v>
          </cell>
          <cell r="AD13">
            <v>-6.9545639454706112E-2</v>
          </cell>
          <cell r="AE13">
            <v>143.00390872462188</v>
          </cell>
          <cell r="AF13">
            <v>-15.310674454351219</v>
          </cell>
          <cell r="AG13">
            <v>-9.6710449201275736E-2</v>
          </cell>
        </row>
        <row r="14">
          <cell r="AC14">
            <v>-0.28929650293226183</v>
          </cell>
          <cell r="AE14">
            <v>3.0650700601127809</v>
          </cell>
          <cell r="AF14">
            <v>2.5067604124392306</v>
          </cell>
        </row>
        <row r="16">
          <cell r="AC16">
            <v>0.942980033369615</v>
          </cell>
          <cell r="AD16">
            <v>4.6149857258827143E-2</v>
          </cell>
          <cell r="AE16">
            <v>39.450799275294059</v>
          </cell>
          <cell r="AF16">
            <v>201.51254122881744</v>
          </cell>
          <cell r="AG16">
            <v>-1.24343067524603</v>
          </cell>
        </row>
        <row r="18">
          <cell r="AC18">
            <v>-4.2822965112548008</v>
          </cell>
          <cell r="AD18">
            <v>-7.8284815815168357E-2</v>
          </cell>
          <cell r="AE18">
            <v>103.55310944932782</v>
          </cell>
          <cell r="AF18">
            <v>186.20186677446623</v>
          </cell>
          <cell r="AG18">
            <v>-2.2529300233995309</v>
          </cell>
        </row>
        <row r="19">
          <cell r="AC19">
            <v>-1.4907687063012154E-2</v>
          </cell>
          <cell r="AE19">
            <v>0.67043948613305204</v>
          </cell>
          <cell r="AF19">
            <v>1.1593766548432305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_Cover"/>
      <sheetName val="01_Item LOG"/>
      <sheetName val="02_Risk CHART"/>
      <sheetName val="03_Issue CHART"/>
      <sheetName val="04_Configuration"/>
      <sheetName val="05_Item HISTORY"/>
      <sheetName val="06_Instructions"/>
      <sheetName val="08_Reporting"/>
      <sheetName val="00_History"/>
    </sheetNames>
    <sheetDataSet>
      <sheetData sheetId="0"/>
      <sheetData sheetId="1"/>
      <sheetData sheetId="2"/>
      <sheetData sheetId="3"/>
      <sheetData sheetId="4">
        <row r="7">
          <cell r="G7" t="str">
            <v>Risk</v>
          </cell>
        </row>
        <row r="8">
          <cell r="G8" t="str">
            <v>Issue</v>
          </cell>
          <cell r="H8" t="str">
            <v>Closed</v>
          </cell>
        </row>
        <row r="21">
          <cell r="F21" t="str">
            <v>Name Surname 2</v>
          </cell>
        </row>
        <row r="22">
          <cell r="F22" t="str">
            <v>Name Surname 3</v>
          </cell>
        </row>
        <row r="23">
          <cell r="F23" t="str">
            <v>Name Surname 4</v>
          </cell>
        </row>
        <row r="24">
          <cell r="F24" t="str">
            <v>Name Surname 5</v>
          </cell>
        </row>
        <row r="25">
          <cell r="F25" t="str">
            <v>Name Surname 6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Sat 3 Mar"/>
      <sheetName val="Summary"/>
      <sheetName val="Sat 28 Apr"/>
      <sheetName val="Sun 29 Apr"/>
      <sheetName val="Mon 30 Apr"/>
      <sheetName val="Tue 1 May"/>
      <sheetName val="Wed 2 May"/>
      <sheetName val="Thur 3 May"/>
      <sheetName val="Fri 4 May"/>
      <sheetName val="Forecast we 110501"/>
      <sheetName val="Sat 05 May"/>
      <sheetName val="Sun 06 May"/>
      <sheetName val="Mon 07 May"/>
      <sheetName val="Tue 08 May"/>
      <sheetName val="Wed 09 May"/>
      <sheetName val="Thur 10 May"/>
      <sheetName val="Fri 11 May"/>
      <sheetName val="Sat 12 May"/>
      <sheetName val="Sun 13 May"/>
      <sheetName val="Mon 14 May"/>
      <sheetName val="Tue 15 May"/>
      <sheetName val="Wed 16 May"/>
      <sheetName val="Thur 17 May"/>
      <sheetName val="Fri 18 May"/>
      <sheetName val="Forecast we 180501"/>
      <sheetName val="Sat 19 May"/>
      <sheetName val="Sun 20 May"/>
      <sheetName val="Mon 21 May"/>
      <sheetName val="Tue 22 May"/>
      <sheetName val="Wed 23 May"/>
      <sheetName val="Thur 24 May"/>
      <sheetName val="Fri 25 May"/>
      <sheetName val="Forecast we 010601"/>
      <sheetName val="Sat 26 May"/>
      <sheetName val="Sun 27 May"/>
      <sheetName val="Mon 28 May"/>
      <sheetName val="Tues 29 May"/>
      <sheetName val="Wed 30 May"/>
      <sheetName val="Thur 31 May"/>
      <sheetName val="Fri 01 June"/>
      <sheetName val="forecast we0106"/>
      <sheetName val="Abandonment wc 1905"/>
      <sheetName val="Abandonment wc 2605"/>
      <sheetName val="Abandonment wc1205"/>
      <sheetName val="Forecast we 250501"/>
      <sheetName val="CB 15m"/>
      <sheetName val="Abandonment wc 2104"/>
      <sheetName val="Abandonment wc 2804"/>
      <sheetName val="Abandonment wc 0505"/>
      <sheetName val="Call Pattern Calculation"/>
      <sheetName val="Forecast we 040501"/>
      <sheetName val="Calls by 15m"/>
      <sheetName val="Forecast 090301"/>
      <sheetName val="Forecast 160301"/>
      <sheetName val="Forecast we 300301"/>
      <sheetName val="Forecast we 060401"/>
      <sheetName val="Forecast we 130401"/>
      <sheetName val="Forecast we 200401"/>
      <sheetName val="Forecast we 270401"/>
      <sheetName val="Forecast 300301"/>
      <sheetName val="Actual agents wc 0303"/>
      <sheetName val="Actual agents wc 1003"/>
      <sheetName val="Actual agents wc 1703"/>
      <sheetName val="Shifted Agents wc 0303 "/>
      <sheetName val="Shifted Agents wc 1003 "/>
      <sheetName val="Shifted Agents wc 1703"/>
    </sheetNames>
    <sheetDataSet>
      <sheetData sheetId="0" refreshError="1"/>
      <sheetData sheetId="1" refreshError="1">
        <row r="2">
          <cell r="B2">
            <v>1.33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data"/>
    </sheetNames>
    <sheetDataSet>
      <sheetData sheetId="0" refreshError="1"/>
      <sheetData sheetId="1">
        <row r="5">
          <cell r="A5" t="str">
            <v>Group Wide</v>
          </cell>
        </row>
        <row r="6">
          <cell r="A6" t="str">
            <v>New Co</v>
          </cell>
        </row>
        <row r="7">
          <cell r="A7" t="str">
            <v>CTO/CIO</v>
          </cell>
        </row>
        <row r="8">
          <cell r="A8" t="str">
            <v>Group IT</v>
          </cell>
        </row>
        <row r="9">
          <cell r="A9" t="str">
            <v>NT&amp;IT</v>
          </cell>
        </row>
        <row r="10">
          <cell r="A10" t="str">
            <v>Networks</v>
          </cell>
        </row>
        <row r="11">
          <cell r="A11" t="str">
            <v>Corporate</v>
          </cell>
        </row>
        <row r="12">
          <cell r="A12" t="str">
            <v>Consumer</v>
          </cell>
        </row>
        <row r="13">
          <cell r="A13" t="str">
            <v>Business</v>
          </cell>
        </row>
        <row r="14">
          <cell r="A14" t="str">
            <v>Cobi</v>
          </cell>
        </row>
        <row r="15">
          <cell r="A15" t="str">
            <v>Finance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Actions"/>
      <sheetName val="Weekly Summary"/>
      <sheetName val="Board Actions"/>
      <sheetName val="Board Mtg Summary"/>
      <sheetName val="Risk Register"/>
      <sheetName val="Issues log"/>
      <sheetName val="Change log"/>
      <sheetName val="Lessons Learned Log"/>
      <sheetName val="Assumptions"/>
      <sheetName val="Dependencies"/>
      <sheetName val="Defects and Off-spec Log"/>
      <sheetName val="Instructions"/>
    </sheetNames>
    <sheetDataSet>
      <sheetData sheetId="0"/>
      <sheetData sheetId="1"/>
      <sheetData sheetId="2"/>
      <sheetData sheetId="3"/>
      <sheetData sheetId="4"/>
      <sheetData sheetId="5">
        <row r="10">
          <cell r="R10" t="str">
            <v>Current/net impact in financial terms</v>
          </cell>
          <cell r="AV10" t="str">
            <v>Financial impact * probability</v>
          </cell>
        </row>
        <row r="11">
          <cell r="R11">
            <v>100000</v>
          </cell>
          <cell r="AV11">
            <v>50000</v>
          </cell>
        </row>
        <row r="12">
          <cell r="AV12">
            <v>0</v>
          </cell>
        </row>
        <row r="13">
          <cell r="AV13">
            <v>0</v>
          </cell>
        </row>
        <row r="14">
          <cell r="AV14">
            <v>0</v>
          </cell>
        </row>
        <row r="15">
          <cell r="AV15">
            <v>0</v>
          </cell>
        </row>
        <row r="16">
          <cell r="AV16">
            <v>0</v>
          </cell>
        </row>
        <row r="17">
          <cell r="AV17">
            <v>0</v>
          </cell>
        </row>
        <row r="18">
          <cell r="AV18">
            <v>0</v>
          </cell>
        </row>
        <row r="19">
          <cell r="AV19">
            <v>0</v>
          </cell>
        </row>
        <row r="20">
          <cell r="AV20">
            <v>0</v>
          </cell>
        </row>
        <row r="21">
          <cell r="AV21">
            <v>0</v>
          </cell>
        </row>
        <row r="22">
          <cell r="AV22">
            <v>0</v>
          </cell>
        </row>
        <row r="23">
          <cell r="AV23">
            <v>0</v>
          </cell>
        </row>
        <row r="24">
          <cell r="AV24">
            <v>0</v>
          </cell>
        </row>
        <row r="25">
          <cell r="AV25">
            <v>0</v>
          </cell>
        </row>
        <row r="26">
          <cell r="AV26">
            <v>0</v>
          </cell>
        </row>
        <row r="27">
          <cell r="AV27">
            <v>0</v>
          </cell>
        </row>
        <row r="28">
          <cell r="AV28">
            <v>0</v>
          </cell>
        </row>
        <row r="29">
          <cell r="AV29">
            <v>0</v>
          </cell>
        </row>
        <row r="30">
          <cell r="AV30">
            <v>0</v>
          </cell>
        </row>
        <row r="31">
          <cell r="AV31">
            <v>0</v>
          </cell>
        </row>
        <row r="32">
          <cell r="AV32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Split"/>
      <sheetName val="Product Costs"/>
    </sheetNames>
    <sheetDataSet>
      <sheetData sheetId="0" refreshError="1">
        <row r="7">
          <cell r="C7">
            <v>0.84919702311006662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2"/>
      <sheetName val="Doc Control"/>
      <sheetName val="Risks"/>
      <sheetName val="Issues"/>
      <sheetName val="Actions"/>
      <sheetName val="Milestones"/>
      <sheetName val="Change Request"/>
      <sheetName val="Escalations"/>
      <sheetName val="Dependencies"/>
      <sheetName val="Deliverables"/>
      <sheetName val="Team Tracker"/>
      <sheetName val="Assumptions"/>
      <sheetName val="Decisions"/>
      <sheetName val="Documents"/>
      <sheetName val="Lessons Learnt"/>
      <sheetName val="Help M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Co Tot Calls Data Sheet"/>
      <sheetName val="ProductCo Tot Calls Output"/>
      <sheetName val="Consumer Calls Output"/>
      <sheetName val="SME Calls Output"/>
      <sheetName val="MB Calls Output"/>
      <sheetName val="Non Retail Calls Output"/>
      <sheetName val="CALLS Charts"/>
      <sheetName val="Consumer Calls Data Sheet"/>
      <sheetName val="Non Retail Calls Data Sheet"/>
      <sheetName val="SME Calls Data Sheet"/>
      <sheetName val="MB Calls Data Sheet"/>
      <sheetName val="Consumer Lines Data Sheet"/>
      <sheetName val="ProductCo Lines Data Sheet"/>
      <sheetName val="SME Lines Data Sheet"/>
      <sheetName val="MB Lines Data Sheet"/>
      <sheetName val="Non Retail Lines Data Sheet"/>
      <sheetName val="Consumer Lines Output"/>
      <sheetName val="SME Lines Output"/>
      <sheetName val="MB Lines Output"/>
      <sheetName val="Non Retail Lines Output"/>
      <sheetName val="ProductCo Lines Output"/>
      <sheetName val="PUC's"/>
      <sheetName val="Data Sheets"/>
      <sheetName val="Reporting DataSheet 0203 P1"/>
      <sheetName val="#REF"/>
    </sheetNames>
    <sheetDataSet>
      <sheetData sheetId="0" refreshError="1"/>
      <sheetData sheetId="1" refreshError="1">
        <row r="1">
          <cell r="AC1" t="str">
            <v>National Calls</v>
          </cell>
        </row>
        <row r="2">
          <cell r="AC2">
            <v>1</v>
          </cell>
        </row>
        <row r="4">
          <cell r="AE4" t="str">
            <v>Full Year</v>
          </cell>
        </row>
        <row r="5">
          <cell r="AC5" t="str">
            <v>Yr on Yr Var Better / (Worse)</v>
          </cell>
          <cell r="AD5" t="str">
            <v>Yr on Yr Var % Better / (Worse)</v>
          </cell>
          <cell r="AE5" t="str">
            <v>Forecast</v>
          </cell>
          <cell r="AF5" t="str">
            <v>FY F'Cast Var to Base QPB Better / (Worse)</v>
          </cell>
          <cell r="AG5" t="str">
            <v>Var % Better / (Worse)</v>
          </cell>
        </row>
        <row r="7">
          <cell r="AC7">
            <v>42.799999999999727</v>
          </cell>
          <cell r="AD7">
            <v>1.89707903018482E-2</v>
          </cell>
          <cell r="AE7">
            <v>4665.5999999999995</v>
          </cell>
          <cell r="AF7">
            <v>-23690.453641319367</v>
          </cell>
          <cell r="AG7">
            <v>-0.83546370524558944</v>
          </cell>
        </row>
        <row r="8">
          <cell r="AC8">
            <v>-4.6165599775426216</v>
          </cell>
          <cell r="AD8">
            <v>-5.7761165925907944E-2</v>
          </cell>
          <cell r="AE8">
            <v>154.45556473202294</v>
          </cell>
          <cell r="AF8">
            <v>-14.582018446950173</v>
          </cell>
          <cell r="AG8">
            <v>-8.6264948733389468E-2</v>
          </cell>
        </row>
        <row r="9">
          <cell r="AC9">
            <v>-0.2770885101573124</v>
          </cell>
          <cell r="AE9">
            <v>3.3105187914099572</v>
          </cell>
          <cell r="AF9">
            <v>2.714393585423402</v>
          </cell>
        </row>
        <row r="11">
          <cell r="AC11">
            <v>-0.60871656708179422</v>
          </cell>
          <cell r="AD11">
            <v>-0.12706787878954096</v>
          </cell>
          <cell r="AE11">
            <v>11.451656007401047</v>
          </cell>
          <cell r="AF11">
            <v>-0.72865600740104597</v>
          </cell>
          <cell r="AG11">
            <v>-5.9822441864834715E-2</v>
          </cell>
        </row>
        <row r="13">
          <cell r="AC13">
            <v>-5.2252765446244158</v>
          </cell>
          <cell r="AD13">
            <v>-6.9545639454706112E-2</v>
          </cell>
          <cell r="AE13">
            <v>143.00390872462188</v>
          </cell>
          <cell r="AF13">
            <v>-15.310674454351219</v>
          </cell>
          <cell r="AG13">
            <v>-9.6710449201275736E-2</v>
          </cell>
        </row>
        <row r="14">
          <cell r="AC14">
            <v>-0.28929650293226183</v>
          </cell>
          <cell r="AE14">
            <v>3.0650700601127809</v>
          </cell>
          <cell r="AF14">
            <v>2.5067604124392306</v>
          </cell>
        </row>
        <row r="16">
          <cell r="AC16">
            <v>0.942980033369615</v>
          </cell>
          <cell r="AD16">
            <v>4.6149857258827143E-2</v>
          </cell>
          <cell r="AE16">
            <v>39.450799275294059</v>
          </cell>
          <cell r="AF16">
            <v>201.51254122881744</v>
          </cell>
          <cell r="AG16">
            <v>-1.24343067524603</v>
          </cell>
        </row>
        <row r="18">
          <cell r="AC18">
            <v>-4.2822965112548008</v>
          </cell>
          <cell r="AD18">
            <v>-7.8284815815168357E-2</v>
          </cell>
          <cell r="AE18">
            <v>103.55310944932782</v>
          </cell>
          <cell r="AF18">
            <v>186.20186677446623</v>
          </cell>
          <cell r="AG18">
            <v>-2.2529300233995309</v>
          </cell>
        </row>
        <row r="19">
          <cell r="AC19">
            <v>-1.4907687063012154E-2</v>
          </cell>
          <cell r="AE19">
            <v>0.67043948613305204</v>
          </cell>
          <cell r="AF19">
            <v>1.1593766548432305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PR Actions"/>
      <sheetName val="PB Actions"/>
      <sheetName val="Risks &amp; Issues"/>
      <sheetName val="Milestones"/>
      <sheetName val="Deliverables"/>
      <sheetName val="CR"/>
      <sheetName val="Key"/>
    </sheetNames>
    <sheetDataSet>
      <sheetData sheetId="0">
        <row r="8">
          <cell r="A8">
            <v>38273</v>
          </cell>
        </row>
        <row r="25">
          <cell r="B25" t="str">
            <v>Microsoft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8">
          <cell r="C8" t="str">
            <v>R</v>
          </cell>
        </row>
        <row r="9">
          <cell r="C9" t="str">
            <v>A</v>
          </cell>
        </row>
        <row r="10">
          <cell r="C10" t="str">
            <v>G</v>
          </cell>
        </row>
        <row r="11">
          <cell r="C11" t="str">
            <v>C</v>
          </cell>
        </row>
        <row r="12">
          <cell r="C12" t="str">
            <v>H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 Control"/>
      <sheetName val="Benefits"/>
      <sheetName val="Financials"/>
      <sheetName val="Deliverables"/>
      <sheetName val="Resources"/>
      <sheetName val="Risks"/>
      <sheetName val="Issues"/>
      <sheetName val="Dependencies"/>
      <sheetName val="Assumptions"/>
      <sheetName val="Change Request"/>
      <sheetName val="Actions_SteeringGroup"/>
      <sheetName val="Actions_ProjectTeam"/>
      <sheetName val="Documents"/>
      <sheetName val="Lessons Learned"/>
      <sheetName val="Decisions"/>
      <sheetName val="Team Tracker"/>
      <sheetName val="Report"/>
      <sheetName val="Key Milestones"/>
      <sheetName val="Fin Summary"/>
      <sheetName val="Orig. Plan"/>
      <sheetName val="Outlook"/>
      <sheetName val="Actu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9"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  <cell r="AM29">
            <v>1</v>
          </cell>
          <cell r="AN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S29">
            <v>1</v>
          </cell>
          <cell r="AT29">
            <v>1</v>
          </cell>
          <cell r="AU29">
            <v>1</v>
          </cell>
          <cell r="AV29">
            <v>1</v>
          </cell>
        </row>
        <row r="30">
          <cell r="O30">
            <v>8</v>
          </cell>
          <cell r="P30">
            <v>8</v>
          </cell>
          <cell r="Q30">
            <v>8</v>
          </cell>
          <cell r="R30">
            <v>8</v>
          </cell>
          <cell r="S30">
            <v>8</v>
          </cell>
          <cell r="T30">
            <v>8</v>
          </cell>
          <cell r="U30">
            <v>8</v>
          </cell>
          <cell r="V30">
            <v>8</v>
          </cell>
          <cell r="W30">
            <v>8</v>
          </cell>
          <cell r="X30">
            <v>8</v>
          </cell>
          <cell r="Y30">
            <v>8</v>
          </cell>
          <cell r="Z30">
            <v>8</v>
          </cell>
          <cell r="AA30">
            <v>8</v>
          </cell>
          <cell r="AB30">
            <v>8</v>
          </cell>
          <cell r="AC30">
            <v>8</v>
          </cell>
          <cell r="AD30">
            <v>8</v>
          </cell>
          <cell r="AE30">
            <v>8</v>
          </cell>
          <cell r="AF30">
            <v>8</v>
          </cell>
          <cell r="AG30">
            <v>8</v>
          </cell>
          <cell r="AH30">
            <v>8</v>
          </cell>
          <cell r="AI30">
            <v>8</v>
          </cell>
          <cell r="AJ30">
            <v>8</v>
          </cell>
          <cell r="AK30">
            <v>8</v>
          </cell>
          <cell r="AL30">
            <v>8</v>
          </cell>
          <cell r="AM30">
            <v>8</v>
          </cell>
          <cell r="AN30">
            <v>8</v>
          </cell>
          <cell r="AO30">
            <v>8</v>
          </cell>
          <cell r="AP30">
            <v>8</v>
          </cell>
          <cell r="AQ30">
            <v>8</v>
          </cell>
          <cell r="AR30">
            <v>8</v>
          </cell>
          <cell r="AS30">
            <v>8</v>
          </cell>
          <cell r="AT30">
            <v>8</v>
          </cell>
          <cell r="AU30">
            <v>8</v>
          </cell>
          <cell r="AV30">
            <v>8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Co Tot Calls Data Sheet"/>
      <sheetName val="ProductCo Tot Calls Output"/>
      <sheetName val="Consumer Calls Output"/>
      <sheetName val="SME Calls Output"/>
      <sheetName val="MB Calls Output"/>
      <sheetName val="Non Retail Calls Output"/>
      <sheetName val="CALLS Charts"/>
      <sheetName val="Consumer Calls Data Sheet"/>
      <sheetName val="Non Retail Calls Data Sheet"/>
      <sheetName val="SME Calls Data Sheet"/>
      <sheetName val="MB Calls Data Sheet"/>
      <sheetName val="Consumer Lines Data Sheet"/>
      <sheetName val="ProductCo Lines Data Sheet"/>
      <sheetName val="SME Lines Data Sheet"/>
      <sheetName val="MB Lines Data Sheet"/>
      <sheetName val="Non Retail Lines Data Sheet"/>
      <sheetName val="Consumer Lines Output"/>
      <sheetName val="SME Lines Output"/>
      <sheetName val="MB Lines Output"/>
      <sheetName val="Non Retail Lines Output"/>
      <sheetName val="ProductCo Lines Output"/>
      <sheetName val="PUC's"/>
      <sheetName val="Data She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ProductCo Lines Total Gross Margin</v>
          </cell>
        </row>
        <row r="2">
          <cell r="F2" t="str">
            <v>Cum To Period</v>
          </cell>
          <cell r="G2">
            <v>4</v>
          </cell>
        </row>
        <row r="4">
          <cell r="C4" t="str">
            <v>Current YTD Cum</v>
          </cell>
          <cell r="F4" t="str">
            <v>Prior Year YTD</v>
          </cell>
          <cell r="I4" t="str">
            <v>Full Year</v>
          </cell>
        </row>
        <row r="5">
          <cell r="B5" t="str">
            <v>Lines</v>
          </cell>
          <cell r="C5" t="str">
            <v>YTD Act</v>
          </cell>
          <cell r="D5" t="str">
            <v>YTD Var to Stretch QPB Better / (Worse)</v>
          </cell>
          <cell r="E5" t="str">
            <v>Var % Better / (Worse)</v>
          </cell>
          <cell r="F5" t="str">
            <v>Act</v>
          </cell>
          <cell r="G5" t="str">
            <v>Yr on Yr Var Better / (Worse)</v>
          </cell>
          <cell r="H5" t="str">
            <v>Yr on Yr Var % Better / (Worse)</v>
          </cell>
          <cell r="I5" t="str">
            <v>Forecast</v>
          </cell>
          <cell r="J5" t="str">
            <v>FY F'Cast Var to Stretch QPB Better / (Worse)</v>
          </cell>
          <cell r="K5" t="str">
            <v>Var % Better / (Worse)</v>
          </cell>
        </row>
        <row r="7">
          <cell r="B7" t="str">
            <v>Connections</v>
          </cell>
        </row>
        <row r="8">
          <cell r="B8" t="str">
            <v>Channels Supplied K</v>
          </cell>
          <cell r="C8">
            <v>1088.2703800756979</v>
          </cell>
          <cell r="D8">
            <v>-120.73196795147487</v>
          </cell>
          <cell r="E8">
            <v>-9.9860821733293595E-2</v>
          </cell>
          <cell r="F8">
            <v>1250.6297766256207</v>
          </cell>
          <cell r="G8">
            <v>-162.35939654992285</v>
          </cell>
          <cell r="H8">
            <v>-0.12982211009559672</v>
          </cell>
          <cell r="I8">
            <v>1401.9018306350013</v>
          </cell>
          <cell r="J8">
            <v>-2216.1504742843722</v>
          </cell>
          <cell r="K8">
            <v>-0.61252582536497024</v>
          </cell>
        </row>
        <row r="9">
          <cell r="B9" t="str">
            <v>Gross Revenue £m</v>
          </cell>
          <cell r="C9">
            <v>62.954860000000004</v>
          </cell>
          <cell r="D9">
            <v>-8.2789999999999893</v>
          </cell>
          <cell r="E9">
            <v>-0.11622281875501328</v>
          </cell>
          <cell r="F9">
            <v>59.381189999999997</v>
          </cell>
          <cell r="G9">
            <v>3.573670000000007</v>
          </cell>
          <cell r="H9">
            <v>6.0181852199324523E-2</v>
          </cell>
          <cell r="I9">
            <v>62.954860000000004</v>
          </cell>
          <cell r="J9">
            <v>-8.2789999999999893</v>
          </cell>
          <cell r="K9">
            <v>-0.11622281875501328</v>
          </cell>
        </row>
        <row r="11">
          <cell r="B11" t="str">
            <v>Total PUC's</v>
          </cell>
          <cell r="C11">
            <v>129.684</v>
          </cell>
          <cell r="D11">
            <v>6.4420977247690701</v>
          </cell>
          <cell r="E11">
            <v>4.7324486872416138E-2</v>
          </cell>
          <cell r="F11">
            <v>149.999</v>
          </cell>
          <cell r="G11">
            <v>20.314999999999998</v>
          </cell>
          <cell r="H11">
            <v>0.13543423622824152</v>
          </cell>
          <cell r="I11">
            <v>129.684</v>
          </cell>
          <cell r="J11">
            <v>291.84659844595399</v>
          </cell>
          <cell r="K11">
            <v>0.69234973575322256</v>
          </cell>
        </row>
        <row r="13">
          <cell r="B13" t="str">
            <v>Gross Margin</v>
          </cell>
          <cell r="C13">
            <v>-66.729140000000001</v>
          </cell>
          <cell r="D13">
            <v>-1.8369022752309192</v>
          </cell>
          <cell r="E13">
            <v>-2.8306964586764155E-2</v>
          </cell>
          <cell r="F13">
            <v>-90.617809999999992</v>
          </cell>
          <cell r="G13">
            <v>23.888670000000005</v>
          </cell>
          <cell r="H13">
            <v>0.26362003230932207</v>
          </cell>
          <cell r="I13">
            <v>-66.729140000000001</v>
          </cell>
          <cell r="J13">
            <v>283.56759844595399</v>
          </cell>
          <cell r="K13">
            <v>0.80950681900141241</v>
          </cell>
        </row>
        <row r="14">
          <cell r="B14" t="str">
            <v>Gross Margin %</v>
          </cell>
          <cell r="C14">
            <v>-1.0599521625494839</v>
          </cell>
          <cell r="D14">
            <v>-0.14897755405895585</v>
          </cell>
          <cell r="F14">
            <v>-1.5260356015095016</v>
          </cell>
          <cell r="G14">
            <v>0.46608343896001769</v>
          </cell>
          <cell r="I14">
            <v>-1.0599521625494839</v>
          </cell>
          <cell r="J14">
            <v>3.857607245939036</v>
          </cell>
        </row>
        <row r="16">
          <cell r="B16" t="str">
            <v>ARPU £ Per Channel</v>
          </cell>
          <cell r="C16">
            <v>57.848546788180514</v>
          </cell>
          <cell r="D16">
            <v>-1.0709913882655897</v>
          </cell>
          <cell r="F16">
            <v>47.481030045693458</v>
          </cell>
          <cell r="G16">
            <v>10.367516742487055</v>
          </cell>
          <cell r="I16">
            <v>44.906753543138009</v>
          </cell>
          <cell r="J16">
            <v>25.218298541217468</v>
          </cell>
        </row>
        <row r="17">
          <cell r="B17" t="str">
            <v>AMPU £ Per Channel</v>
          </cell>
          <cell r="C17">
            <v>-61.316692268476935</v>
          </cell>
          <cell r="D17">
            <v>-7.642489045746224</v>
          </cell>
          <cell r="F17">
            <v>-72.457742246070538</v>
          </cell>
          <cell r="G17">
            <v>11.141049977593603</v>
          </cell>
          <cell r="I17">
            <v>-47.599010531125828</v>
          </cell>
          <cell r="J17">
            <v>49.220136602171422</v>
          </cell>
        </row>
        <row r="18">
          <cell r="B18" t="str">
            <v>Rentals</v>
          </cell>
        </row>
        <row r="19">
          <cell r="B19" t="str">
            <v>Channels RSS K</v>
          </cell>
          <cell r="C19">
            <v>28162.34</v>
          </cell>
          <cell r="D19">
            <v>121.65018672245787</v>
          </cell>
          <cell r="E19">
            <v>4.3383450097884291E-3</v>
          </cell>
          <cell r="F19">
            <v>28071.390000000003</v>
          </cell>
          <cell r="G19">
            <v>90.94999999999709</v>
          </cell>
          <cell r="H19">
            <v>3.2399535612592421E-3</v>
          </cell>
          <cell r="I19">
            <v>0</v>
          </cell>
          <cell r="J19">
            <v>-27655.509755550633</v>
          </cell>
          <cell r="K19">
            <v>-1</v>
          </cell>
        </row>
        <row r="20">
          <cell r="B20" t="str">
            <v>Gross Revenue £m</v>
          </cell>
          <cell r="C20">
            <v>1215.5230100000003</v>
          </cell>
          <cell r="D20">
            <v>-6.1181499999997868</v>
          </cell>
          <cell r="E20">
            <v>-5.0081400335265274E-3</v>
          </cell>
          <cell r="F20">
            <v>1165.7650800000001</v>
          </cell>
          <cell r="G20">
            <v>49.757930000000215</v>
          </cell>
          <cell r="H20">
            <v>4.2682638941286703E-2</v>
          </cell>
          <cell r="I20">
            <v>1215.5230100000003</v>
          </cell>
          <cell r="J20">
            <v>-6.1181499999997868</v>
          </cell>
          <cell r="K20">
            <v>-5.0081400335265274E-3</v>
          </cell>
        </row>
        <row r="22">
          <cell r="B22" t="str">
            <v>Total PUC's</v>
          </cell>
          <cell r="C22">
            <v>992.9197587447884</v>
          </cell>
          <cell r="D22">
            <v>-2.0939350337348515</v>
          </cell>
          <cell r="E22">
            <v>-2.1044283579487433E-3</v>
          </cell>
          <cell r="F22">
            <v>1010.2545692572528</v>
          </cell>
          <cell r="G22">
            <v>17.334810512464401</v>
          </cell>
          <cell r="H22">
            <v>1.7158853857210554E-2</v>
          </cell>
          <cell r="I22">
            <v>992.9197587447884</v>
          </cell>
          <cell r="J22">
            <v>1988.6917659925348</v>
          </cell>
          <cell r="K22">
            <v>-1.9971356410079839</v>
          </cell>
        </row>
        <row r="24">
          <cell r="B24" t="str">
            <v>Gross Margin</v>
          </cell>
          <cell r="C24">
            <v>222.60325125521194</v>
          </cell>
          <cell r="D24">
            <v>-8.2120850337346383</v>
          </cell>
          <cell r="E24">
            <v>3.5578593544816822E-2</v>
          </cell>
          <cell r="F24">
            <v>155.51051074274733</v>
          </cell>
          <cell r="G24">
            <v>67.092740512464616</v>
          </cell>
          <cell r="H24">
            <v>-0.43143540711182232</v>
          </cell>
          <cell r="I24">
            <v>222.60325125521194</v>
          </cell>
          <cell r="J24">
            <v>1982.573615992535</v>
          </cell>
          <cell r="K24">
            <v>1.1264812497501546</v>
          </cell>
        </row>
        <row r="25">
          <cell r="B25" t="str">
            <v>Gross Margin %</v>
          </cell>
          <cell r="C25">
            <v>0.18313372056627039</v>
          </cell>
          <cell r="D25">
            <v>-5.8050151660346272E-3</v>
          </cell>
          <cell r="F25">
            <v>0.13339781179819463</v>
          </cell>
          <cell r="G25">
            <v>4.9735908768075765E-2</v>
          </cell>
          <cell r="I25">
            <v>0.18313372056627039</v>
          </cell>
          <cell r="J25">
            <v>1.6237943845679015</v>
          </cell>
        </row>
        <row r="27">
          <cell r="B27" t="str">
            <v>ARPU £ Per Chan Per Year</v>
          </cell>
          <cell r="C27">
            <v>129.47129976259166</v>
          </cell>
          <cell r="D27">
            <v>-0.97858666798859417</v>
          </cell>
          <cell r="F27">
            <v>124.73820461004291</v>
          </cell>
          <cell r="G27">
            <v>4.7330951525487421</v>
          </cell>
          <cell r="I27">
            <v>103.5781932704805</v>
          </cell>
          <cell r="J27">
            <v>59.845243382442746</v>
          </cell>
        </row>
        <row r="28">
          <cell r="B28" t="str">
            <v>AMPU £ Per Chan Per Year</v>
          </cell>
          <cell r="C28">
            <v>23.710560832074293</v>
          </cell>
          <cell r="D28">
            <v>-0.93647578654231367</v>
          </cell>
          <cell r="F28">
            <v>16.639803542615201</v>
          </cell>
          <cell r="G28">
            <v>7.0707572894590918</v>
          </cell>
          <cell r="I28">
            <v>18.968659903155327</v>
          </cell>
          <cell r="J28">
            <v>81.973000527605848</v>
          </cell>
        </row>
      </sheetData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S55"/>
  <sheetViews>
    <sheetView showGridLines="0" tabSelected="1" topLeftCell="D1" zoomScale="90" zoomScaleNormal="90" workbookViewId="0">
      <selection activeCell="A7" sqref="A7:F7"/>
    </sheetView>
  </sheetViews>
  <sheetFormatPr defaultColWidth="9.140625" defaultRowHeight="12.75" x14ac:dyDescent="0.2"/>
  <cols>
    <col min="1" max="1" width="10.7109375" style="1" customWidth="1"/>
    <col min="2" max="2" width="13.42578125" style="1" customWidth="1"/>
    <col min="3" max="3" width="17.28515625" style="2" customWidth="1"/>
    <col min="4" max="4" width="16.140625" style="1" customWidth="1"/>
    <col min="5" max="5" width="25.5703125" style="1" customWidth="1"/>
    <col min="6" max="6" width="13.28515625" style="1" customWidth="1"/>
    <col min="7" max="7" width="12.85546875" style="3" customWidth="1"/>
    <col min="8" max="8" width="10.5703125" style="2" customWidth="1"/>
    <col min="9" max="9" width="11.7109375" style="2" customWidth="1"/>
    <col min="10" max="10" width="30.42578125" style="1" customWidth="1"/>
    <col min="11" max="11" width="11.7109375" style="2" customWidth="1"/>
    <col min="12" max="12" width="13.85546875" style="1" customWidth="1"/>
    <col min="13" max="18" width="9.140625" style="1"/>
    <col min="19" max="19" width="11.5703125" style="1" customWidth="1"/>
    <col min="20" max="16384" width="9.140625" style="1"/>
  </cols>
  <sheetData>
    <row r="1" spans="1:19" x14ac:dyDescent="0.2">
      <c r="H1" s="4"/>
    </row>
    <row r="2" spans="1:19" ht="18" x14ac:dyDescent="0.2">
      <c r="A2" s="5" t="s">
        <v>0</v>
      </c>
      <c r="F2" s="6" t="s">
        <v>1</v>
      </c>
      <c r="G2" s="7"/>
    </row>
    <row r="3" spans="1:19" x14ac:dyDescent="0.2">
      <c r="A3" s="8" t="s">
        <v>2</v>
      </c>
      <c r="B3" s="9"/>
      <c r="C3" s="10">
        <f>+'[10]Cover sheet'!E5</f>
        <v>0</v>
      </c>
      <c r="F3" s="11" t="s">
        <v>3</v>
      </c>
      <c r="G3" s="12">
        <f>+P40</f>
        <v>0</v>
      </c>
    </row>
    <row r="4" spans="1:19" x14ac:dyDescent="0.2">
      <c r="A4" s="8" t="s">
        <v>4</v>
      </c>
      <c r="B4" s="13"/>
      <c r="C4" s="10">
        <f>+'[10]Cover sheet'!E7</f>
        <v>0</v>
      </c>
      <c r="F4" s="11" t="s">
        <v>5</v>
      </c>
      <c r="G4" s="12">
        <f>+Q40</f>
        <v>0</v>
      </c>
    </row>
    <row r="5" spans="1:19" x14ac:dyDescent="0.2">
      <c r="A5" s="8" t="s">
        <v>6</v>
      </c>
      <c r="B5" s="13"/>
      <c r="C5" s="10">
        <f>+'[10]Cover sheet'!E8</f>
        <v>0</v>
      </c>
      <c r="F5" s="11" t="s">
        <v>7</v>
      </c>
      <c r="G5" s="12">
        <f>+R40</f>
        <v>0</v>
      </c>
    </row>
    <row r="6" spans="1:19" x14ac:dyDescent="0.2">
      <c r="A6" s="8" t="s">
        <v>8</v>
      </c>
      <c r="B6" s="14"/>
      <c r="C6" s="10">
        <f>+'[10]Cover sheet'!E9</f>
        <v>0</v>
      </c>
      <c r="F6" s="11" t="s">
        <v>9</v>
      </c>
      <c r="G6" s="12">
        <f>+S40</f>
        <v>0</v>
      </c>
    </row>
    <row r="7" spans="1:19" s="17" customFormat="1" ht="29.25" customHeight="1" x14ac:dyDescent="0.2">
      <c r="A7" s="45" t="s">
        <v>10</v>
      </c>
      <c r="B7" s="45"/>
      <c r="C7" s="46"/>
      <c r="D7" s="46"/>
      <c r="E7" s="46"/>
      <c r="F7" s="47"/>
      <c r="G7" s="15" t="s">
        <v>11</v>
      </c>
      <c r="H7" s="48" t="s">
        <v>12</v>
      </c>
      <c r="I7" s="48"/>
      <c r="J7" s="16" t="s">
        <v>13</v>
      </c>
      <c r="K7" s="49" t="s">
        <v>14</v>
      </c>
      <c r="L7" s="50"/>
      <c r="P7" s="18"/>
      <c r="Q7" s="19" t="s">
        <v>15</v>
      </c>
      <c r="R7" s="20"/>
      <c r="S7" s="21"/>
    </row>
    <row r="8" spans="1:19" s="17" customFormat="1" ht="80.25" customHeight="1" x14ac:dyDescent="0.2">
      <c r="A8" s="22" t="s">
        <v>16</v>
      </c>
      <c r="B8" s="22" t="s">
        <v>17</v>
      </c>
      <c r="C8" s="23" t="s">
        <v>18</v>
      </c>
      <c r="D8" s="24" t="s">
        <v>19</v>
      </c>
      <c r="E8" s="24" t="s">
        <v>20</v>
      </c>
      <c r="F8" s="24" t="s">
        <v>21</v>
      </c>
      <c r="G8" s="24" t="s">
        <v>11</v>
      </c>
      <c r="H8" s="23" t="s">
        <v>22</v>
      </c>
      <c r="I8" s="23" t="s">
        <v>23</v>
      </c>
      <c r="J8" s="24"/>
      <c r="K8" s="23" t="s">
        <v>24</v>
      </c>
      <c r="L8" s="24" t="s">
        <v>25</v>
      </c>
      <c r="P8" s="25" t="s">
        <v>3</v>
      </c>
      <c r="Q8" s="26" t="s">
        <v>5</v>
      </c>
      <c r="R8" s="26" t="s">
        <v>7</v>
      </c>
      <c r="S8" s="27" t="s">
        <v>9</v>
      </c>
    </row>
    <row r="9" spans="1:19" s="32" customFormat="1" ht="12" x14ac:dyDescent="0.2">
      <c r="A9" s="28">
        <v>1</v>
      </c>
      <c r="B9" s="28"/>
      <c r="C9" s="29"/>
      <c r="D9" s="30"/>
      <c r="E9" s="30"/>
      <c r="F9" s="30"/>
      <c r="G9" s="31"/>
      <c r="H9" s="29"/>
      <c r="I9" s="29"/>
      <c r="J9" s="31"/>
      <c r="K9" s="29"/>
      <c r="L9" s="30"/>
      <c r="P9" s="32">
        <f>IF($G9="Pending",1,0)</f>
        <v>0</v>
      </c>
      <c r="Q9" s="32">
        <f>IF($G9="Deferred",1,0)</f>
        <v>0</v>
      </c>
      <c r="R9" s="32">
        <f>IF($G9="Made",1,0)</f>
        <v>0</v>
      </c>
      <c r="S9" s="32">
        <f>IF($G9="Cancelled",1,0)</f>
        <v>0</v>
      </c>
    </row>
    <row r="10" spans="1:19" s="32" customFormat="1" ht="12" x14ac:dyDescent="0.2">
      <c r="A10" s="28">
        <v>2</v>
      </c>
      <c r="B10" s="28"/>
      <c r="C10" s="29"/>
      <c r="D10" s="30"/>
      <c r="E10" s="30"/>
      <c r="F10" s="30"/>
      <c r="G10" s="31"/>
      <c r="H10" s="29"/>
      <c r="I10" s="29"/>
      <c r="J10" s="31"/>
      <c r="K10" s="29"/>
      <c r="L10" s="30"/>
      <c r="P10" s="32">
        <f t="shared" ref="P10:P36" si="0">IF($G10="Pending",1,0)</f>
        <v>0</v>
      </c>
      <c r="Q10" s="32">
        <f t="shared" ref="Q10:Q36" si="1">IF($G10="Deferred",1,0)</f>
        <v>0</v>
      </c>
      <c r="R10" s="32">
        <f t="shared" ref="R10:R36" si="2">IF($G10="Made",1,0)</f>
        <v>0</v>
      </c>
      <c r="S10" s="32">
        <f t="shared" ref="S10:S36" si="3">IF($G10="Cancelled",1,0)</f>
        <v>0</v>
      </c>
    </row>
    <row r="11" spans="1:19" s="32" customFormat="1" ht="12" x14ac:dyDescent="0.2">
      <c r="A11" s="28"/>
      <c r="B11" s="28"/>
      <c r="C11" s="29"/>
      <c r="D11" s="30"/>
      <c r="E11" s="30"/>
      <c r="F11" s="30"/>
      <c r="G11" s="31"/>
      <c r="H11" s="29"/>
      <c r="I11" s="29"/>
      <c r="J11" s="31"/>
      <c r="K11" s="29"/>
      <c r="L11" s="30"/>
      <c r="P11" s="32">
        <f t="shared" si="0"/>
        <v>0</v>
      </c>
      <c r="Q11" s="32">
        <f t="shared" si="1"/>
        <v>0</v>
      </c>
      <c r="R11" s="32">
        <f t="shared" si="2"/>
        <v>0</v>
      </c>
      <c r="S11" s="32">
        <f t="shared" si="3"/>
        <v>0</v>
      </c>
    </row>
    <row r="12" spans="1:19" s="32" customFormat="1" ht="12" x14ac:dyDescent="0.2">
      <c r="A12" s="28"/>
      <c r="B12" s="28"/>
      <c r="C12" s="29"/>
      <c r="D12" s="30"/>
      <c r="E12" s="30"/>
      <c r="F12" s="30"/>
      <c r="G12" s="31"/>
      <c r="H12" s="29"/>
      <c r="I12" s="29"/>
      <c r="J12" s="31"/>
      <c r="K12" s="29"/>
      <c r="L12" s="30"/>
      <c r="P12" s="32">
        <f t="shared" si="0"/>
        <v>0</v>
      </c>
      <c r="Q12" s="32">
        <f t="shared" si="1"/>
        <v>0</v>
      </c>
      <c r="R12" s="32">
        <f t="shared" si="2"/>
        <v>0</v>
      </c>
      <c r="S12" s="32">
        <f t="shared" si="3"/>
        <v>0</v>
      </c>
    </row>
    <row r="13" spans="1:19" s="32" customFormat="1" ht="12" x14ac:dyDescent="0.2">
      <c r="A13" s="28"/>
      <c r="B13" s="28"/>
      <c r="C13" s="29"/>
      <c r="D13" s="30"/>
      <c r="E13" s="30"/>
      <c r="F13" s="30"/>
      <c r="G13" s="31"/>
      <c r="H13" s="29"/>
      <c r="I13" s="29"/>
      <c r="J13" s="31"/>
      <c r="K13" s="29"/>
      <c r="L13" s="30"/>
      <c r="P13" s="32">
        <f t="shared" si="0"/>
        <v>0</v>
      </c>
      <c r="Q13" s="32">
        <f t="shared" si="1"/>
        <v>0</v>
      </c>
      <c r="R13" s="32">
        <f t="shared" si="2"/>
        <v>0</v>
      </c>
      <c r="S13" s="32">
        <f t="shared" si="3"/>
        <v>0</v>
      </c>
    </row>
    <row r="14" spans="1:19" s="32" customFormat="1" ht="12" x14ac:dyDescent="0.2">
      <c r="A14" s="28"/>
      <c r="B14" s="28"/>
      <c r="C14" s="29"/>
      <c r="D14" s="30"/>
      <c r="E14" s="30"/>
      <c r="F14" s="30"/>
      <c r="G14" s="31"/>
      <c r="H14" s="29"/>
      <c r="I14" s="29"/>
      <c r="J14" s="31"/>
      <c r="K14" s="29"/>
      <c r="L14" s="30"/>
      <c r="P14" s="32">
        <f t="shared" si="0"/>
        <v>0</v>
      </c>
      <c r="Q14" s="32">
        <f t="shared" si="1"/>
        <v>0</v>
      </c>
      <c r="R14" s="32">
        <f t="shared" si="2"/>
        <v>0</v>
      </c>
      <c r="S14" s="32">
        <f t="shared" si="3"/>
        <v>0</v>
      </c>
    </row>
    <row r="15" spans="1:19" s="32" customFormat="1" ht="12" x14ac:dyDescent="0.2">
      <c r="A15" s="28"/>
      <c r="B15" s="28"/>
      <c r="C15" s="29"/>
      <c r="D15" s="30"/>
      <c r="E15" s="30"/>
      <c r="F15" s="30"/>
      <c r="G15" s="31"/>
      <c r="H15" s="29"/>
      <c r="I15" s="29"/>
      <c r="J15" s="31"/>
      <c r="K15" s="29"/>
      <c r="L15" s="30"/>
      <c r="P15" s="32">
        <f t="shared" si="0"/>
        <v>0</v>
      </c>
      <c r="Q15" s="32">
        <f t="shared" si="1"/>
        <v>0</v>
      </c>
      <c r="R15" s="32">
        <f t="shared" si="2"/>
        <v>0</v>
      </c>
      <c r="S15" s="32">
        <f t="shared" si="3"/>
        <v>0</v>
      </c>
    </row>
    <row r="16" spans="1:19" s="32" customFormat="1" ht="12" x14ac:dyDescent="0.2">
      <c r="A16" s="28"/>
      <c r="B16" s="28"/>
      <c r="C16" s="29"/>
      <c r="D16" s="30"/>
      <c r="E16" s="30"/>
      <c r="F16" s="30"/>
      <c r="G16" s="31"/>
      <c r="H16" s="29"/>
      <c r="I16" s="29"/>
      <c r="J16" s="31"/>
      <c r="K16" s="29"/>
      <c r="L16" s="30"/>
      <c r="P16" s="32">
        <f t="shared" si="0"/>
        <v>0</v>
      </c>
      <c r="Q16" s="32">
        <f t="shared" si="1"/>
        <v>0</v>
      </c>
      <c r="R16" s="32">
        <f t="shared" si="2"/>
        <v>0</v>
      </c>
      <c r="S16" s="32">
        <f t="shared" si="3"/>
        <v>0</v>
      </c>
    </row>
    <row r="17" spans="1:19" s="32" customFormat="1" ht="12" x14ac:dyDescent="0.2">
      <c r="A17" s="28"/>
      <c r="B17" s="28"/>
      <c r="C17" s="29"/>
      <c r="D17" s="30"/>
      <c r="E17" s="30"/>
      <c r="F17" s="30"/>
      <c r="G17" s="31"/>
      <c r="H17" s="29"/>
      <c r="I17" s="29"/>
      <c r="J17" s="31"/>
      <c r="K17" s="29"/>
      <c r="L17" s="30"/>
      <c r="P17" s="32">
        <f t="shared" si="0"/>
        <v>0</v>
      </c>
      <c r="Q17" s="32">
        <f t="shared" si="1"/>
        <v>0</v>
      </c>
      <c r="R17" s="32">
        <f t="shared" si="2"/>
        <v>0</v>
      </c>
      <c r="S17" s="32">
        <f t="shared" si="3"/>
        <v>0</v>
      </c>
    </row>
    <row r="18" spans="1:19" s="32" customFormat="1" ht="12" x14ac:dyDescent="0.2">
      <c r="A18" s="28"/>
      <c r="B18" s="28"/>
      <c r="C18" s="29"/>
      <c r="D18" s="30"/>
      <c r="E18" s="30"/>
      <c r="F18" s="30"/>
      <c r="G18" s="31"/>
      <c r="H18" s="29"/>
      <c r="I18" s="29"/>
      <c r="J18" s="31"/>
      <c r="K18" s="29"/>
      <c r="L18" s="30"/>
      <c r="P18" s="32">
        <f t="shared" si="0"/>
        <v>0</v>
      </c>
      <c r="Q18" s="32">
        <f t="shared" si="1"/>
        <v>0</v>
      </c>
      <c r="R18" s="32">
        <f t="shared" si="2"/>
        <v>0</v>
      </c>
      <c r="S18" s="32">
        <f t="shared" si="3"/>
        <v>0</v>
      </c>
    </row>
    <row r="19" spans="1:19" s="32" customFormat="1" ht="12" x14ac:dyDescent="0.2">
      <c r="A19" s="28"/>
      <c r="B19" s="28"/>
      <c r="C19" s="29"/>
      <c r="D19" s="30"/>
      <c r="E19" s="30"/>
      <c r="F19" s="30"/>
      <c r="G19" s="31"/>
      <c r="H19" s="29"/>
      <c r="I19" s="29"/>
      <c r="J19" s="31"/>
      <c r="K19" s="29"/>
      <c r="L19" s="30"/>
      <c r="P19" s="32">
        <f t="shared" si="0"/>
        <v>0</v>
      </c>
      <c r="Q19" s="32">
        <f t="shared" si="1"/>
        <v>0</v>
      </c>
      <c r="R19" s="32">
        <f t="shared" si="2"/>
        <v>0</v>
      </c>
      <c r="S19" s="32">
        <f t="shared" si="3"/>
        <v>0</v>
      </c>
    </row>
    <row r="20" spans="1:19" s="32" customFormat="1" ht="12" x14ac:dyDescent="0.2">
      <c r="A20" s="28"/>
      <c r="B20" s="28"/>
      <c r="C20" s="29"/>
      <c r="D20" s="30"/>
      <c r="E20" s="30"/>
      <c r="F20" s="30"/>
      <c r="G20" s="31"/>
      <c r="H20" s="29"/>
      <c r="I20" s="29"/>
      <c r="J20" s="31"/>
      <c r="K20" s="29"/>
      <c r="L20" s="30"/>
      <c r="P20" s="32">
        <v>0</v>
      </c>
      <c r="Q20" s="32">
        <f t="shared" si="1"/>
        <v>0</v>
      </c>
      <c r="R20" s="32">
        <f t="shared" si="2"/>
        <v>0</v>
      </c>
      <c r="S20" s="32">
        <f t="shared" si="3"/>
        <v>0</v>
      </c>
    </row>
    <row r="21" spans="1:19" s="32" customFormat="1" ht="12" x14ac:dyDescent="0.2">
      <c r="A21" s="28"/>
      <c r="B21" s="28"/>
      <c r="C21" s="29"/>
      <c r="D21" s="30"/>
      <c r="E21" s="30"/>
      <c r="F21" s="30"/>
      <c r="G21" s="31"/>
      <c r="H21" s="29"/>
      <c r="I21" s="29"/>
      <c r="J21" s="31"/>
      <c r="K21" s="29"/>
      <c r="L21" s="30"/>
      <c r="P21" s="32">
        <f t="shared" si="0"/>
        <v>0</v>
      </c>
      <c r="Q21" s="32">
        <f t="shared" si="1"/>
        <v>0</v>
      </c>
      <c r="R21" s="32">
        <f t="shared" si="2"/>
        <v>0</v>
      </c>
      <c r="S21" s="32">
        <f t="shared" si="3"/>
        <v>0</v>
      </c>
    </row>
    <row r="22" spans="1:19" x14ac:dyDescent="0.2">
      <c r="A22" s="28"/>
      <c r="B22" s="28"/>
      <c r="C22" s="29"/>
      <c r="D22" s="30"/>
      <c r="E22" s="30"/>
      <c r="F22" s="30"/>
      <c r="G22" s="31"/>
      <c r="H22" s="29"/>
      <c r="I22" s="29"/>
      <c r="J22" s="31"/>
      <c r="K22" s="29"/>
      <c r="L22" s="30"/>
      <c r="M22" s="32"/>
      <c r="N22" s="32"/>
      <c r="O22" s="32"/>
      <c r="P22" s="32">
        <f t="shared" si="0"/>
        <v>0</v>
      </c>
      <c r="Q22" s="32">
        <f t="shared" si="1"/>
        <v>0</v>
      </c>
      <c r="R22" s="32">
        <f t="shared" si="2"/>
        <v>0</v>
      </c>
      <c r="S22" s="32">
        <f t="shared" si="3"/>
        <v>0</v>
      </c>
    </row>
    <row r="23" spans="1:19" x14ac:dyDescent="0.2">
      <c r="A23" s="28"/>
      <c r="B23" s="28"/>
      <c r="C23" s="29"/>
      <c r="D23" s="30"/>
      <c r="E23" s="30"/>
      <c r="F23" s="30"/>
      <c r="G23" s="31"/>
      <c r="H23" s="29"/>
      <c r="I23" s="29"/>
      <c r="J23" s="31"/>
      <c r="K23" s="29"/>
      <c r="L23" s="30"/>
      <c r="M23" s="32"/>
      <c r="N23" s="32"/>
      <c r="O23" s="32"/>
      <c r="P23" s="32">
        <f t="shared" si="0"/>
        <v>0</v>
      </c>
      <c r="Q23" s="32">
        <f t="shared" si="1"/>
        <v>0</v>
      </c>
      <c r="R23" s="32">
        <f t="shared" si="2"/>
        <v>0</v>
      </c>
      <c r="S23" s="32">
        <f t="shared" si="3"/>
        <v>0</v>
      </c>
    </row>
    <row r="24" spans="1:19" x14ac:dyDescent="0.2">
      <c r="A24" s="28"/>
      <c r="B24" s="28"/>
      <c r="C24" s="29"/>
      <c r="D24" s="30"/>
      <c r="E24" s="30"/>
      <c r="F24" s="30"/>
      <c r="G24" s="31"/>
      <c r="H24" s="29"/>
      <c r="I24" s="29"/>
      <c r="J24" s="31"/>
      <c r="K24" s="29"/>
      <c r="L24" s="30"/>
      <c r="M24" s="32"/>
      <c r="N24" s="32"/>
      <c r="O24" s="32"/>
      <c r="P24" s="32">
        <f t="shared" si="0"/>
        <v>0</v>
      </c>
      <c r="Q24" s="32">
        <f t="shared" si="1"/>
        <v>0</v>
      </c>
      <c r="R24" s="32">
        <f t="shared" si="2"/>
        <v>0</v>
      </c>
      <c r="S24" s="32">
        <f t="shared" si="3"/>
        <v>0</v>
      </c>
    </row>
    <row r="25" spans="1:19" x14ac:dyDescent="0.2">
      <c r="A25" s="28"/>
      <c r="B25" s="28"/>
      <c r="C25" s="29"/>
      <c r="D25" s="30"/>
      <c r="E25" s="30"/>
      <c r="F25" s="30"/>
      <c r="G25" s="31"/>
      <c r="H25" s="29"/>
      <c r="I25" s="29"/>
      <c r="J25" s="31"/>
      <c r="K25" s="29"/>
      <c r="L25" s="30"/>
      <c r="M25" s="32"/>
      <c r="N25" s="32"/>
      <c r="O25" s="32"/>
      <c r="P25" s="32">
        <f t="shared" si="0"/>
        <v>0</v>
      </c>
      <c r="Q25" s="32">
        <f t="shared" si="1"/>
        <v>0</v>
      </c>
      <c r="R25" s="32">
        <f t="shared" si="2"/>
        <v>0</v>
      </c>
      <c r="S25" s="32">
        <f t="shared" si="3"/>
        <v>0</v>
      </c>
    </row>
    <row r="26" spans="1:19" x14ac:dyDescent="0.2">
      <c r="A26" s="28"/>
      <c r="B26" s="28"/>
      <c r="C26" s="29"/>
      <c r="D26" s="30"/>
      <c r="E26" s="30"/>
      <c r="F26" s="30"/>
      <c r="G26" s="31"/>
      <c r="H26" s="29"/>
      <c r="I26" s="29"/>
      <c r="J26" s="31"/>
      <c r="K26" s="29"/>
      <c r="L26" s="30"/>
      <c r="M26" s="32"/>
      <c r="N26" s="32"/>
      <c r="O26" s="32"/>
      <c r="P26" s="32">
        <f t="shared" si="0"/>
        <v>0</v>
      </c>
      <c r="Q26" s="32">
        <f t="shared" si="1"/>
        <v>0</v>
      </c>
      <c r="R26" s="32">
        <f t="shared" si="2"/>
        <v>0</v>
      </c>
      <c r="S26" s="32">
        <f t="shared" si="3"/>
        <v>0</v>
      </c>
    </row>
    <row r="27" spans="1:19" x14ac:dyDescent="0.2">
      <c r="A27" s="28"/>
      <c r="B27" s="28"/>
      <c r="C27" s="29"/>
      <c r="D27" s="30"/>
      <c r="E27" s="30"/>
      <c r="F27" s="30"/>
      <c r="G27" s="31"/>
      <c r="H27" s="29"/>
      <c r="I27" s="29"/>
      <c r="J27" s="31"/>
      <c r="K27" s="29"/>
      <c r="L27" s="30"/>
      <c r="M27" s="32"/>
      <c r="N27" s="32"/>
      <c r="O27" s="32"/>
      <c r="P27" s="32">
        <f t="shared" si="0"/>
        <v>0</v>
      </c>
      <c r="Q27" s="32">
        <f t="shared" si="1"/>
        <v>0</v>
      </c>
      <c r="R27" s="32">
        <f t="shared" si="2"/>
        <v>0</v>
      </c>
      <c r="S27" s="32">
        <f t="shared" si="3"/>
        <v>0</v>
      </c>
    </row>
    <row r="28" spans="1:19" x14ac:dyDescent="0.2">
      <c r="A28" s="28"/>
      <c r="B28" s="28"/>
      <c r="C28" s="29"/>
      <c r="D28" s="30"/>
      <c r="E28" s="30"/>
      <c r="F28" s="30"/>
      <c r="G28" s="31"/>
      <c r="H28" s="29"/>
      <c r="I28" s="29"/>
      <c r="J28" s="31"/>
      <c r="K28" s="29"/>
      <c r="L28" s="30"/>
      <c r="M28" s="32"/>
      <c r="N28" s="32"/>
      <c r="O28" s="32"/>
      <c r="P28" s="32">
        <f t="shared" si="0"/>
        <v>0</v>
      </c>
      <c r="Q28" s="32">
        <f t="shared" si="1"/>
        <v>0</v>
      </c>
      <c r="R28" s="32">
        <f t="shared" si="2"/>
        <v>0</v>
      </c>
      <c r="S28" s="32">
        <f t="shared" si="3"/>
        <v>0</v>
      </c>
    </row>
    <row r="29" spans="1:19" x14ac:dyDescent="0.2">
      <c r="A29" s="28"/>
      <c r="B29" s="28"/>
      <c r="C29" s="29"/>
      <c r="D29" s="30"/>
      <c r="E29" s="30"/>
      <c r="F29" s="30"/>
      <c r="G29" s="31"/>
      <c r="H29" s="29"/>
      <c r="I29" s="29"/>
      <c r="J29" s="31"/>
      <c r="K29" s="29"/>
      <c r="L29" s="30"/>
      <c r="M29" s="32"/>
      <c r="N29" s="32"/>
      <c r="O29" s="32"/>
      <c r="P29" s="32">
        <f t="shared" si="0"/>
        <v>0</v>
      </c>
      <c r="Q29" s="32">
        <f t="shared" si="1"/>
        <v>0</v>
      </c>
      <c r="R29" s="32">
        <f t="shared" si="2"/>
        <v>0</v>
      </c>
      <c r="S29" s="32">
        <f t="shared" si="3"/>
        <v>0</v>
      </c>
    </row>
    <row r="30" spans="1:19" x14ac:dyDescent="0.2">
      <c r="A30" s="28"/>
      <c r="B30" s="28"/>
      <c r="C30" s="29"/>
      <c r="D30" s="30"/>
      <c r="E30" s="30"/>
      <c r="F30" s="30"/>
      <c r="G30" s="31"/>
      <c r="H30" s="29"/>
      <c r="I30" s="29"/>
      <c r="J30" s="31"/>
      <c r="K30" s="29"/>
      <c r="L30" s="30"/>
      <c r="M30" s="32"/>
      <c r="N30" s="32"/>
      <c r="O30" s="32"/>
      <c r="P30" s="32">
        <f t="shared" si="0"/>
        <v>0</v>
      </c>
      <c r="Q30" s="32">
        <f t="shared" si="1"/>
        <v>0</v>
      </c>
      <c r="R30" s="32">
        <f t="shared" si="2"/>
        <v>0</v>
      </c>
      <c r="S30" s="32">
        <f t="shared" si="3"/>
        <v>0</v>
      </c>
    </row>
    <row r="31" spans="1:19" x14ac:dyDescent="0.2">
      <c r="A31" s="28"/>
      <c r="B31" s="28"/>
      <c r="C31" s="29"/>
      <c r="D31" s="30"/>
      <c r="E31" s="30"/>
      <c r="F31" s="30"/>
      <c r="G31" s="31"/>
      <c r="H31" s="29"/>
      <c r="I31" s="29"/>
      <c r="J31" s="31"/>
      <c r="K31" s="29"/>
      <c r="L31" s="30"/>
      <c r="M31" s="32"/>
      <c r="N31" s="32"/>
      <c r="O31" s="32"/>
      <c r="P31" s="32">
        <f t="shared" si="0"/>
        <v>0</v>
      </c>
      <c r="Q31" s="32">
        <f t="shared" si="1"/>
        <v>0</v>
      </c>
      <c r="R31" s="32">
        <f t="shared" si="2"/>
        <v>0</v>
      </c>
      <c r="S31" s="32">
        <f t="shared" si="3"/>
        <v>0</v>
      </c>
    </row>
    <row r="32" spans="1:19" x14ac:dyDescent="0.2">
      <c r="A32" s="28"/>
      <c r="B32" s="28"/>
      <c r="C32" s="29"/>
      <c r="D32" s="30"/>
      <c r="E32" s="30"/>
      <c r="F32" s="30"/>
      <c r="G32" s="31"/>
      <c r="H32" s="29"/>
      <c r="I32" s="29"/>
      <c r="J32" s="31"/>
      <c r="K32" s="29"/>
      <c r="L32" s="30"/>
      <c r="M32" s="32"/>
      <c r="N32" s="32"/>
      <c r="O32" s="32"/>
      <c r="P32" s="32">
        <f t="shared" si="0"/>
        <v>0</v>
      </c>
      <c r="Q32" s="32">
        <f t="shared" si="1"/>
        <v>0</v>
      </c>
      <c r="R32" s="32">
        <f t="shared" si="2"/>
        <v>0</v>
      </c>
      <c r="S32" s="32">
        <f t="shared" si="3"/>
        <v>0</v>
      </c>
    </row>
    <row r="33" spans="1:19" x14ac:dyDescent="0.2">
      <c r="A33" s="28"/>
      <c r="B33" s="28"/>
      <c r="C33" s="29"/>
      <c r="D33" s="30"/>
      <c r="E33" s="30"/>
      <c r="F33" s="30"/>
      <c r="G33" s="31"/>
      <c r="H33" s="29"/>
      <c r="I33" s="29"/>
      <c r="J33" s="31"/>
      <c r="K33" s="29"/>
      <c r="L33" s="30"/>
      <c r="M33" s="32"/>
      <c r="N33" s="32"/>
      <c r="O33" s="32"/>
      <c r="P33" s="32">
        <f t="shared" si="0"/>
        <v>0</v>
      </c>
      <c r="Q33" s="32">
        <f t="shared" si="1"/>
        <v>0</v>
      </c>
      <c r="R33" s="32">
        <f t="shared" si="2"/>
        <v>0</v>
      </c>
      <c r="S33" s="32">
        <f t="shared" si="3"/>
        <v>0</v>
      </c>
    </row>
    <row r="34" spans="1:19" x14ac:dyDescent="0.2">
      <c r="A34" s="28"/>
      <c r="B34" s="28"/>
      <c r="C34" s="29"/>
      <c r="D34" s="30"/>
      <c r="E34" s="30"/>
      <c r="F34" s="30"/>
      <c r="G34" s="31"/>
      <c r="H34" s="29"/>
      <c r="I34" s="29"/>
      <c r="J34" s="31"/>
      <c r="K34" s="29"/>
      <c r="L34" s="30"/>
      <c r="M34" s="32"/>
      <c r="N34" s="32"/>
      <c r="O34" s="32"/>
      <c r="P34" s="32">
        <f t="shared" si="0"/>
        <v>0</v>
      </c>
      <c r="Q34" s="32">
        <f t="shared" si="1"/>
        <v>0</v>
      </c>
      <c r="R34" s="32">
        <f t="shared" si="2"/>
        <v>0</v>
      </c>
      <c r="S34" s="32">
        <f t="shared" si="3"/>
        <v>0</v>
      </c>
    </row>
    <row r="35" spans="1:19" x14ac:dyDescent="0.2">
      <c r="A35" s="28"/>
      <c r="B35" s="28"/>
      <c r="C35" s="29"/>
      <c r="D35" s="30"/>
      <c r="E35" s="30"/>
      <c r="F35" s="30"/>
      <c r="G35" s="31"/>
      <c r="H35" s="29"/>
      <c r="I35" s="29"/>
      <c r="J35" s="31"/>
      <c r="K35" s="29"/>
      <c r="L35" s="30"/>
      <c r="M35" s="32"/>
      <c r="N35" s="32"/>
      <c r="O35" s="32"/>
      <c r="P35" s="32">
        <f t="shared" si="0"/>
        <v>0</v>
      </c>
      <c r="Q35" s="32">
        <f t="shared" si="1"/>
        <v>0</v>
      </c>
      <c r="R35" s="32">
        <f t="shared" si="2"/>
        <v>0</v>
      </c>
      <c r="S35" s="32">
        <f t="shared" si="3"/>
        <v>0</v>
      </c>
    </row>
    <row r="36" spans="1:19" x14ac:dyDescent="0.2">
      <c r="A36" s="28"/>
      <c r="B36" s="28"/>
      <c r="C36" s="29"/>
      <c r="D36" s="30"/>
      <c r="E36" s="30"/>
      <c r="F36" s="30"/>
      <c r="G36" s="31"/>
      <c r="H36" s="29"/>
      <c r="I36" s="29"/>
      <c r="J36" s="31"/>
      <c r="K36" s="29"/>
      <c r="L36" s="30"/>
      <c r="M36" s="32"/>
      <c r="N36" s="32"/>
      <c r="O36" s="32"/>
      <c r="P36" s="32">
        <f t="shared" si="0"/>
        <v>0</v>
      </c>
      <c r="Q36" s="32">
        <f t="shared" si="1"/>
        <v>0</v>
      </c>
      <c r="R36" s="32">
        <f t="shared" si="2"/>
        <v>0</v>
      </c>
      <c r="S36" s="32">
        <f t="shared" si="3"/>
        <v>0</v>
      </c>
    </row>
    <row r="37" spans="1:19" x14ac:dyDescent="0.2">
      <c r="A37" s="28"/>
      <c r="B37" s="28"/>
      <c r="C37" s="29"/>
      <c r="D37" s="30"/>
      <c r="E37" s="30"/>
      <c r="F37" s="30"/>
      <c r="G37" s="31"/>
      <c r="H37" s="29"/>
      <c r="I37" s="29"/>
      <c r="J37" s="31"/>
      <c r="K37" s="29"/>
      <c r="L37" s="30"/>
      <c r="M37" s="32"/>
      <c r="N37" s="32"/>
      <c r="O37" s="32"/>
      <c r="P37" s="32">
        <f>IF($G37="Pending",1,0)</f>
        <v>0</v>
      </c>
      <c r="Q37" s="32">
        <f>IF($G37="Deferred",1,0)</f>
        <v>0</v>
      </c>
      <c r="R37" s="32">
        <f>IF($G37="Made",1,0)</f>
        <v>0</v>
      </c>
      <c r="S37" s="32">
        <f>IF($G37="Cancelled",1,0)</f>
        <v>0</v>
      </c>
    </row>
    <row r="38" spans="1:19" x14ac:dyDescent="0.2">
      <c r="A38" s="28"/>
      <c r="B38" s="28"/>
      <c r="C38" s="29"/>
      <c r="D38" s="30"/>
      <c r="E38" s="30"/>
      <c r="F38" s="30"/>
      <c r="G38" s="31"/>
      <c r="H38" s="29"/>
      <c r="I38" s="29"/>
      <c r="J38" s="31"/>
      <c r="K38" s="29"/>
      <c r="L38" s="30"/>
      <c r="M38" s="32"/>
      <c r="N38" s="32"/>
      <c r="O38" s="32"/>
      <c r="P38" s="32">
        <f>IF($G38="Pending",1,0)</f>
        <v>0</v>
      </c>
      <c r="Q38" s="32">
        <f>IF($G38="Deferred",1,0)</f>
        <v>0</v>
      </c>
      <c r="R38" s="32">
        <f>IF($G38="Made",1,0)</f>
        <v>0</v>
      </c>
      <c r="S38" s="32">
        <f>IF($G38="Cancelled",1,0)</f>
        <v>0</v>
      </c>
    </row>
    <row r="39" spans="1:19" x14ac:dyDescent="0.2">
      <c r="A39" s="33" t="s">
        <v>26</v>
      </c>
      <c r="B39" s="34"/>
      <c r="C39" s="35"/>
      <c r="D39" s="36"/>
      <c r="E39" s="36"/>
      <c r="F39" s="36"/>
      <c r="G39" s="37"/>
      <c r="H39" s="35"/>
      <c r="I39" s="35"/>
      <c r="J39" s="36"/>
      <c r="K39" s="35"/>
      <c r="L39" s="36"/>
      <c r="P39" s="36"/>
      <c r="Q39" s="36"/>
      <c r="R39" s="36"/>
      <c r="S39" s="36"/>
    </row>
    <row r="40" spans="1:19" x14ac:dyDescent="0.2">
      <c r="P40" s="38">
        <f>SUM(P9:P39)</f>
        <v>0</v>
      </c>
      <c r="Q40" s="38">
        <f>SUM(Q9:Q39)</f>
        <v>0</v>
      </c>
      <c r="R40" s="38">
        <f>SUM(R9:R39)</f>
        <v>0</v>
      </c>
      <c r="S40" s="38">
        <f>SUM(S9:S39)</f>
        <v>0</v>
      </c>
    </row>
    <row r="41" spans="1:19" ht="20.25" customHeight="1" x14ac:dyDescent="0.2"/>
    <row r="42" spans="1:19" ht="10.5" hidden="1" customHeight="1" x14ac:dyDescent="0.2"/>
    <row r="43" spans="1:19" hidden="1" x14ac:dyDescent="0.2"/>
    <row r="44" spans="1:19" hidden="1" x14ac:dyDescent="0.2"/>
    <row r="45" spans="1:19" hidden="1" x14ac:dyDescent="0.2"/>
    <row r="46" spans="1:19" ht="15.75" x14ac:dyDescent="0.2">
      <c r="A46" s="39" t="s">
        <v>27</v>
      </c>
      <c r="B46" s="39"/>
    </row>
    <row r="47" spans="1:19" x14ac:dyDescent="0.2">
      <c r="A47" s="40" t="s">
        <v>28</v>
      </c>
      <c r="B47" s="40"/>
      <c r="C47" s="40" t="s">
        <v>28</v>
      </c>
      <c r="D47" s="40" t="s">
        <v>28</v>
      </c>
      <c r="E47" s="40" t="s">
        <v>28</v>
      </c>
      <c r="F47" s="40" t="s">
        <v>28</v>
      </c>
      <c r="G47" s="40" t="s">
        <v>28</v>
      </c>
      <c r="H47" s="40" t="s">
        <v>28</v>
      </c>
      <c r="I47" s="40" t="s">
        <v>28</v>
      </c>
      <c r="J47" s="40" t="s">
        <v>28</v>
      </c>
      <c r="K47" s="40"/>
      <c r="L47" s="40"/>
    </row>
    <row r="49" spans="1:19" ht="15.75" x14ac:dyDescent="0.2">
      <c r="A49" s="39" t="s">
        <v>29</v>
      </c>
      <c r="B49" s="39"/>
    </row>
    <row r="50" spans="1:19" x14ac:dyDescent="0.2">
      <c r="A50" s="41"/>
      <c r="B50" s="41"/>
      <c r="C50" s="42"/>
      <c r="D50" s="41"/>
      <c r="E50" s="41"/>
      <c r="F50" s="43" t="s">
        <v>30</v>
      </c>
      <c r="G50" s="44" t="s">
        <v>3</v>
      </c>
      <c r="H50" s="42"/>
      <c r="I50" s="42"/>
      <c r="J50" s="41"/>
      <c r="K50" s="42"/>
      <c r="L50" s="41"/>
    </row>
    <row r="51" spans="1:19" ht="25.5" x14ac:dyDescent="0.2">
      <c r="A51" s="41"/>
      <c r="B51" s="41"/>
      <c r="C51" s="42"/>
      <c r="D51" s="41"/>
      <c r="E51" s="41"/>
      <c r="F51" s="43" t="s">
        <v>31</v>
      </c>
      <c r="G51" s="44" t="s">
        <v>5</v>
      </c>
      <c r="H51" s="42"/>
      <c r="I51" s="42"/>
      <c r="J51" s="41"/>
      <c r="K51" s="42"/>
      <c r="L51" s="41"/>
    </row>
    <row r="52" spans="1:19" x14ac:dyDescent="0.2">
      <c r="A52" s="41"/>
      <c r="B52" s="41"/>
      <c r="C52" s="42"/>
      <c r="D52" s="41"/>
      <c r="E52" s="41"/>
      <c r="F52" s="43" t="s">
        <v>32</v>
      </c>
      <c r="G52" s="44" t="s">
        <v>7</v>
      </c>
      <c r="H52" s="42"/>
      <c r="I52" s="42"/>
      <c r="J52" s="41"/>
      <c r="K52" s="42"/>
      <c r="L52" s="41"/>
    </row>
    <row r="53" spans="1:19" x14ac:dyDescent="0.2">
      <c r="A53" s="41"/>
      <c r="B53" s="41"/>
      <c r="C53" s="42"/>
      <c r="D53" s="41"/>
      <c r="E53" s="41"/>
      <c r="F53" s="43"/>
      <c r="G53" s="44" t="s">
        <v>9</v>
      </c>
      <c r="H53" s="42"/>
      <c r="I53" s="42"/>
      <c r="J53" s="41"/>
      <c r="K53" s="42"/>
      <c r="L53" s="41"/>
    </row>
    <row r="54" spans="1:19" x14ac:dyDescent="0.2">
      <c r="A54" s="41"/>
      <c r="B54" s="41"/>
      <c r="C54" s="42"/>
      <c r="D54" s="41"/>
      <c r="E54" s="41"/>
      <c r="F54" s="43"/>
      <c r="G54" s="44"/>
      <c r="H54" s="42"/>
      <c r="I54" s="42"/>
      <c r="J54" s="41"/>
      <c r="K54" s="42"/>
      <c r="L54" s="41"/>
    </row>
    <row r="55" spans="1:19" s="32" customFormat="1" ht="18" customHeight="1" x14ac:dyDescent="0.2">
      <c r="A55" s="1"/>
      <c r="B55" s="1"/>
      <c r="C55" s="2"/>
      <c r="D55" s="1"/>
      <c r="E55" s="1"/>
      <c r="F55" s="1"/>
      <c r="G55" s="3"/>
      <c r="H55" s="2"/>
      <c r="I55" s="2"/>
      <c r="J55" s="1"/>
      <c r="K55" s="2"/>
      <c r="L55" s="1"/>
      <c r="M55" s="1"/>
      <c r="N55" s="1"/>
      <c r="O55" s="1"/>
      <c r="P55" s="1"/>
      <c r="Q55" s="1"/>
      <c r="R55" s="1"/>
      <c r="S55" s="1"/>
    </row>
  </sheetData>
  <sheetProtection formatCells="0" formatColumns="0" formatRows="0" insertColumns="0" sort="0" autoFilter="0"/>
  <autoFilter ref="A8:S9"/>
  <mergeCells count="3">
    <mergeCell ref="A7:F7"/>
    <mergeCell ref="H7:I7"/>
    <mergeCell ref="K7:L7"/>
  </mergeCells>
  <dataValidations count="12">
    <dataValidation allowBlank="1" showInputMessage="1" showErrorMessage="1" promptTitle="Comment" prompt="Enter any comments to make the item more understandable. E.g. what the decision was;  why a decision is being deferred or cancelled. Any cross reference to a risk, issue or change." sqref="J9:J38"/>
    <dataValidation allowBlank="1" showInputMessage="1" showErrorMessage="1" promptTitle="Date decicion was made" prompt="The actual date on which the decicion was made." sqref="I9:I38"/>
    <dataValidation allowBlank="1" showInputMessage="1" showErrorMessage="1" promptTitle="Date decision is required" prompt="The  date by which the decicion is to be made if the objectives are not to be threatened." sqref="H9:H38"/>
    <dataValidation type="list" allowBlank="1" showInputMessage="1" showErrorMessage="1" promptTitle="Cause" prompt="State who or which body will make the decision. Either select from the pick list 9which you may amend, or enter whatever is appropriate." sqref="F9:F38">
      <formula1>$F$50:$F$54</formula1>
    </dataValidation>
    <dataValidation allowBlank="1" showInputMessage="1" showErrorMessage="1" promptTitle="Short title" prompt="A brief description of the decision required" sqref="E9:E38"/>
    <dataValidation allowBlank="1" showInputMessage="1" showErrorMessage="1" promptTitle="Identified by" prompt="State who requested the decision" sqref="D9:D38"/>
    <dataValidation allowBlank="1" showInputMessage="1" showErrorMessage="1" promptTitle="Date identified" prompt="Date when the decision was requested" sqref="C9:C38"/>
    <dataValidation allowBlank="1" showInputMessage="1" showErrorMessage="1" promptTitle="Decision ID" prompt="A unique identifier for the item" sqref="A9:A38"/>
    <dataValidation type="list" allowBlank="1" showInputMessage="1" showErrorMessage="1" promptTitle="Status" prompt="The decicison is either:_x000a_Pending - awaiting a decision_x000a_Deferred - decision delayed_x000a_Made - decision made_x000a_Cancelled - no longer a need for a decsion" sqref="G9:G38">
      <formula1>$G$50:$G$54</formula1>
    </dataValidation>
    <dataValidation allowBlank="1" showInputMessage="1" showErrorMessage="1" promptTitle="Domain" prompt="If needed, state which sub-programme, project, work package etc this item applies to. If not needed, hide this column." sqref="B9:B38"/>
    <dataValidation allowBlank="1" showInputMessage="1" showErrorMessage="1" promptTitle="Updated by" prompt="Name of the person who last updated this item." sqref="L9:L38"/>
    <dataValidation allowBlank="1" showInputMessage="1" showErrorMessage="1" promptTitle="Date updated" prompt="Date when this item was last updated." sqref="K9:K38"/>
  </dataValidations>
  <pageMargins left="0.53" right="0.55000000000000004" top="1" bottom="1" header="0.5" footer="0.5"/>
  <pageSetup paperSize="8" fitToHeight="0" orientation="landscape" r:id="rId1"/>
  <headerFooter alignWithMargins="0">
    <oddFooter>&amp;LPrinted on: &amp;D&amp;RPage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p:Policy xmlns:p="office.server.policy" id="" local="true">
  <p:Name>eDocument</p:Name>
  <p:Description/>
  <p:Statement/>
  <p:PolicyItems/>
</p:Policy>
</file>

<file path=customXml/item2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A36D47D008C0144E9D0D4FB15E41798B" ma:contentTypeVersion="73" ma:contentTypeDescription="" ma:contentTypeScope="" ma:versionID="a45896ffb4a637e491b55293e66aa53c">
  <xsd:schema xmlns:xsd="http://www.w3.org/2001/XMLSchema" xmlns:xs="http://www.w3.org/2001/XMLSchema" xmlns:p="http://schemas.microsoft.com/office/2006/metadata/properties" xmlns:ns2="6ab1f1aa-e99c-435c-9116-148c58391c42" targetNamespace="http://schemas.microsoft.com/office/2006/metadata/properties" ma:root="true" ma:fieldsID="a1046f5bc727c9ef1b0b4bd5dee8c97c" ns2:_="">
    <xsd:import namespace="6ab1f1aa-e99c-435c-9116-148c58391c42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f1aa-e99c-435c-9116-148c58391c42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7981ae60-1fba-4a00-a3a8-c5084b7335f1}" ma:internalName="TaxCatchAll" ma:showField="CatchAllData" ma:web="6ab1f1aa-e99c-435c-9116-148c58391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981ae60-1fba-4a00-a3a8-c5084b7335f1}" ma:internalName="TaxCatchAllLabel" ma:readOnly="true" ma:showField="CatchAllDataLabel" ma:web="6ab1f1aa-e99c-435c-9116-148c58391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009|352a68f6-138a-4ce0-8d74-da68723c208d" ma:fieldId="{11f8bb48-43d6-459a-8b80-9123185593c7}" ma:sspId="f2970656-14da-44a7-bf1a-2b1eb7a31fa1" ma:termSetId="584d92f5-f104-4db4-9eaa-0d5facccda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f2970656-14da-44a7-bf1a-2b1eb7a31fa1" ma:termSetId="6b2a013c-fe8b-4805-9242-a33f2487be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f2970656-14da-44a7-bf1a-2b1eb7a31fa1" ma:termSetId="a2a87ccb-50b7-4118-aee4-b7ac72f5a21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0db6e6fe-7da6-4395-ba22-207b2a29f028" ma:fieldId="{6bbd3faf-a5ab-4e5e-b8a6-a5e099cef439}" ma:sspId="f2970656-14da-44a7-bf1a-2b1eb7a31fa1" ma:termSetId="9d236be9-847d-436d-be84-30193fff6b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f2970656-14da-44a7-bf1a-2b1eb7a31fa1" ma:termSetId="a2a87ccb-50b7-4118-aee4-b7ac72f5a21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b1f1aa-e99c-435c-9116-148c58391c42">
      <Value>20</Value>
      <Value>22</Value>
      <Value>1</Value>
      <Value>4</Value>
    </TaxCatchAll>
    <eDocs_FileStatus xmlns="6ab1f1aa-e99c-435c-9116-148c58391c42">Live</eDocs_FileStatus>
    <h1f8bb4843d6459a8b809123185593c7 xmlns="6ab1f1aa-e99c-435c-9116-148c58391c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009</TermName>
          <TermId xmlns="http://schemas.microsoft.com/office/infopath/2007/PartnerControls">352a68f6-138a-4ce0-8d74-da68723c208d</TermId>
        </TermInfo>
      </Terms>
    </h1f8bb4843d6459a8b809123185593c7>
    <nb1b8a72855341e18dd75ce464e281f2 xmlns="6ab1f1aa-e99c-435c-9116-148c58391c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2018</TermName>
          <TermId xmlns="http://schemas.microsoft.com/office/infopath/2007/PartnerControls">6e971baa-7691-4dfb-b2e2-ad97d94c3b44</TermId>
        </TermInfo>
      </Terms>
    </nb1b8a72855341e18dd75ce464e281f2>
    <eDocs_eFileName xmlns="6ab1f1aa-e99c-435c-9116-148c58391c42">DPE009-003-2018</eDocs_eFileName>
    <m02c691f3efa402dab5cbaa8c240a9e7 xmlns="6ab1f1aa-e99c-435c-9116-148c58391c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Administration</TermName>
          <TermId xmlns="http://schemas.microsoft.com/office/infopath/2007/PartnerControls">f39c8d0b-d6ff-4722-8762-9b094c2efb2c</TermId>
        </TermInfo>
      </Terms>
    </m02c691f3efa402dab5cbaa8c240a9e7>
    <fbaa881fc4ae443f9fdafbdd527793df xmlns="6ab1f1aa-e99c-435c-9116-148c58391c42">
      <Terms xmlns="http://schemas.microsoft.com/office/infopath/2007/PartnerControls"/>
    </fbaa881fc4ae443f9fdafbdd527793df>
    <_vti_ItemDeclaredRecord xmlns="6ab1f1aa-e99c-435c-9116-148c58391c42" xsi:nil="true"/>
    <mbbd3fafa5ab4e5eb8a6a5e099cef439 xmlns="6ab1f1aa-e99c-435c-9116-148c58391c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0db6e6fe-7da6-4395-ba22-207b2a29f028</TermId>
        </TermInfo>
      </Terms>
    </mbbd3fafa5ab4e5eb8a6a5e099cef439>
  </documentManagement>
</p:properties>
</file>

<file path=customXml/item6.xml><?xml version="1.0" encoding="utf-8"?>
<?mso-contentType ?>
<PolicyDirtyBag xmlns="microsoft.office.server.policy.changes">
  <Microsoft.Office.RecordsManagement.PolicyFeatures.Expiration op="Change"/>
</PolicyDirtyBag>
</file>

<file path=customXml/itemProps1.xml><?xml version="1.0" encoding="utf-8"?>
<ds:datastoreItem xmlns:ds="http://schemas.openxmlformats.org/officeDocument/2006/customXml" ds:itemID="{9E83BF33-1CB8-43AD-9216-015D76369FD2}"/>
</file>

<file path=customXml/itemProps2.xml><?xml version="1.0" encoding="utf-8"?>
<ds:datastoreItem xmlns:ds="http://schemas.openxmlformats.org/officeDocument/2006/customXml" ds:itemID="{47270A9F-1B86-4E18-BBA3-C665F152A66B}"/>
</file>

<file path=customXml/itemProps3.xml><?xml version="1.0" encoding="utf-8"?>
<ds:datastoreItem xmlns:ds="http://schemas.openxmlformats.org/officeDocument/2006/customXml" ds:itemID="{C945428A-C84F-4244-8548-1EE3DE0EE7A1}"/>
</file>

<file path=customXml/itemProps4.xml><?xml version="1.0" encoding="utf-8"?>
<ds:datastoreItem xmlns:ds="http://schemas.openxmlformats.org/officeDocument/2006/customXml" ds:itemID="{98F5F20C-F9D3-4099-8530-BF783A34FEB5}"/>
</file>

<file path=customXml/itemProps5.xml><?xml version="1.0" encoding="utf-8"?>
<ds:datastoreItem xmlns:ds="http://schemas.openxmlformats.org/officeDocument/2006/customXml" ds:itemID="{442F6D2E-7472-4854-A3EC-697A3F0AACEB}"/>
</file>

<file path=customXml/itemProps6.xml><?xml version="1.0" encoding="utf-8"?>
<ds:datastoreItem xmlns:ds="http://schemas.openxmlformats.org/officeDocument/2006/customXml" ds:itemID="{AC9B38D3-FF38-43BA-96B2-763927704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Decision Register</vt:lpstr>
      <vt:lpstr>Bottom4</vt:lpstr>
      <vt:lpstr>'Decision Register'!Print_Area</vt:lpstr>
      <vt:lpstr>'Decision Register'!Print_Titles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Edelle Boles (OGCIO)</dc:creator>
  <cp:lastModifiedBy>Hilda Vivash</cp:lastModifiedBy>
  <dcterms:created xsi:type="dcterms:W3CDTF">2019-08-16T09:34:03Z</dcterms:created>
  <dcterms:modified xsi:type="dcterms:W3CDTF">2019-11-20T15:31:35Z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0x0101000BC94875665D404BB1351B53C41FD2C000A36D47D008C0144E9D0D4FB15E41798B</vt:lpwstr>
  </property>
  <property fmtid="{D5CDD505-2E9C-101B-9397-08002B2CF9AE}" pid="3" name="_dlc_policyId">
    <vt:lpwstr>0x0101000BC94875665D404BB1351B53C41FD2C0|151133126</vt:lpwstr>
  </property>
  <property fmtid="{D5CDD505-2E9C-101B-9397-08002B2CF9AE}" pid="4" name="OriginatingOffice">
    <vt:lpwstr>245;#SPB|7918068a-6874-473b-834f-7521d58705c2</vt:lpwstr>
  </property>
  <property fmtid="{D5CDD505-2E9C-101B-9397-08002B2CF9AE}" pid="5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6" name="Tags">
    <vt:lpwstr/>
  </property>
  <property fmtid="{D5CDD505-2E9C-101B-9397-08002B2CF9AE}" pid="7" name="UnitInspected">
    <vt:lpwstr/>
  </property>
  <property fmtid="{D5CDD505-2E9C-101B-9397-08002B2CF9AE}" pid="8" name="bf39c91b289c4ee3af7d9a44aa77e414">
    <vt:lpwstr/>
  </property>
  <property fmtid="{D5CDD505-2E9C-101B-9397-08002B2CF9AE}" pid="9" name="eDocs_FileTopics">
    <vt:lpwstr>22;#Administration|f39c8d0b-d6ff-4722-8762-9b094c2efb2c</vt:lpwstr>
  </property>
  <property fmtid="{D5CDD505-2E9C-101B-9397-08002B2CF9AE}" pid="10" name="eDocs_SeriesSubSeries">
    <vt:lpwstr>1;#009|352a68f6-138a-4ce0-8d74-da68723c208d</vt:lpwstr>
  </property>
  <property fmtid="{D5CDD505-2E9C-101B-9397-08002B2CF9AE}" pid="11" name="eDocs_Year">
    <vt:lpwstr>20;#2018|6e971baa-7691-4dfb-b2e2-ad97d94c3b44</vt:lpwstr>
  </property>
  <property fmtid="{D5CDD505-2E9C-101B-9397-08002B2CF9AE}" pid="12" name="_docset_NoMedatataSyncRequired">
    <vt:lpwstr>False</vt:lpwstr>
  </property>
  <property fmtid="{D5CDD505-2E9C-101B-9397-08002B2CF9AE}" pid="13" name="eDocs_DocumentTopics">
    <vt:lpwstr/>
  </property>
  <property fmtid="{D5CDD505-2E9C-101B-9397-08002B2CF9AE}" pid="14" name="eDocs_SecurityClassification">
    <vt:lpwstr>4;#Unclassified|0db6e6fe-7da6-4395-ba22-207b2a29f028</vt:lpwstr>
  </property>
  <property fmtid="{D5CDD505-2E9C-101B-9397-08002B2CF9AE}" pid="15" name="eDocs_SecurityLevel">
    <vt:lpwstr>Unclassified</vt:lpwstr>
  </property>
  <property fmtid="{D5CDD505-2E9C-101B-9397-08002B2CF9AE}" pid="16" name="eDocs_Series">
    <vt:lpwstr>1;#009|352a68f6-138a-4ce0-8d74-da68723c208d</vt:lpwstr>
  </property>
  <property fmtid="{D5CDD505-2E9C-101B-9397-08002B2CF9AE}" pid="17" name="ge25f6a3ef6f42d4865685f2a74bf8c7">
    <vt:lpwstr/>
  </property>
  <property fmtid="{D5CDD505-2E9C-101B-9397-08002B2CF9AE}" pid="18" name="eDocs_RetentionPeriodTerm">
    <vt:lpwstr/>
  </property>
</Properties>
</file>